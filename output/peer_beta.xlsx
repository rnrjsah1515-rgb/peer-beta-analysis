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베타산정" sheetId="1" state="visible" r:id="rId1"/>
    <sheet xmlns:r="http://schemas.openxmlformats.org/officeDocument/2006/relationships" name="주간수익률" sheetId="2" state="visible" r:id="rId2"/>
    <sheet xmlns:r="http://schemas.openxmlformats.org/officeDocument/2006/relationships" name="회귀통계" sheetId="3" state="visible" r:id="rId3"/>
    <sheet xmlns:r="http://schemas.openxmlformats.org/officeDocument/2006/relationships" name="범위" sheetId="4" state="visible" r:id="rId4"/>
    <sheet xmlns:r="http://schemas.openxmlformats.org/officeDocument/2006/relationships" name="이동베타" sheetId="5" state="visible" r:id="rId5"/>
    <sheet xmlns:r="http://schemas.openxmlformats.org/officeDocument/2006/relationships" name="반도체비중" sheetId="6" state="visible" r:id="rId6"/>
    <sheet xmlns:r="http://schemas.openxmlformats.org/officeDocument/2006/relationships" name="데이터대조" sheetId="7" state="visible" r:id="rId7"/>
    <sheet xmlns:r="http://schemas.openxmlformats.org/officeDocument/2006/relationships" name="부채매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2" fontId="0" fillId="3" borderId="0" pivotButton="0" quotePrefix="0" xfId="0"/>
    <xf numFmtId="1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7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167" fontId="3" fillId="4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9" customWidth="1" min="3" max="3"/>
    <col width="10" customWidth="1" min="4" max="4"/>
    <col width="8" customWidth="1" min="5" max="5"/>
    <col width="9" customWidth="1" min="6" max="6"/>
    <col width="12" customWidth="1" min="7" max="7"/>
    <col width="11" customWidth="1" min="8" max="8"/>
    <col width="11" customWidth="1" min="9" max="9"/>
    <col width="11" customWidth="1" min="10" max="10"/>
    <col width="12" customWidth="1" min="11" max="11"/>
    <col width="8" customWidth="1" min="12" max="12"/>
    <col width="10" customWidth="1" min="13" max="13"/>
    <col width="12" customWidth="1" min="14" max="14"/>
    <col width="18" customWidth="1" min="15" max="15"/>
  </cols>
  <sheetData>
    <row r="1">
      <c r="A1" s="1" t="inlineStr">
        <is>
          <t>가상 화장품 ODM (비상장) — 유사기업 베타 산정</t>
        </is>
      </c>
    </row>
    <row r="3">
      <c r="A3" t="inlineStr">
        <is>
          <t>평가기준일</t>
        </is>
      </c>
      <c r="B3" s="2" t="n">
        <v>46283</v>
      </c>
    </row>
    <row r="4">
      <c r="A4" t="inlineStr">
        <is>
          <t>시장지수</t>
        </is>
      </c>
      <c r="B4" s="3" t="inlineStr">
        <is>
          <t>KOSPI 반도체 제외</t>
        </is>
      </c>
    </row>
    <row r="5">
      <c r="A5" t="inlineStr">
        <is>
          <t>측정조건</t>
        </is>
      </c>
      <c r="B5" s="3" t="inlineStr">
        <is>
          <t>주간 수익률 104주 (금요일 종가)</t>
        </is>
      </c>
    </row>
    <row r="6">
      <c r="A6" t="inlineStr">
        <is>
          <t>법인세율 (한계)</t>
        </is>
      </c>
      <c r="B6" s="4" t="n">
        <v>0.275</v>
      </c>
    </row>
    <row r="7">
      <c r="A7" t="inlineStr">
        <is>
          <t>Blume 가중치 (원시)</t>
        </is>
      </c>
      <c r="B7" s="5" t="n">
        <v>0.67</v>
      </c>
    </row>
    <row r="8">
      <c r="A8" t="inlineStr">
        <is>
          <t>Blume 상수 (시장=1)</t>
        </is>
      </c>
      <c r="B8" s="5" t="n">
        <v>0.33</v>
      </c>
    </row>
    <row r="9">
      <c r="A9" t="inlineStr">
        <is>
          <t>리스부채 포함 (1/0)</t>
        </is>
      </c>
      <c r="B9" s="6" t="n">
        <v>1</v>
      </c>
    </row>
    <row r="10">
      <c r="A10" t="inlineStr">
        <is>
          <t>순차입금 기준 (1/0)</t>
        </is>
      </c>
      <c r="B10" s="6" t="n">
        <v>0</v>
      </c>
    </row>
    <row r="12" ht="32" customHeight="1">
      <c r="A12" s="7" t="inlineStr">
        <is>
          <t>코드</t>
        </is>
      </c>
      <c r="B12" s="7" t="inlineStr">
        <is>
          <t>회사</t>
        </is>
      </c>
      <c r="C12" s="7" t="inlineStr">
        <is>
          <t>상장시장</t>
        </is>
      </c>
      <c r="D12" s="7" t="inlineStr">
        <is>
          <t>원시 β
(SLOPE)</t>
        </is>
      </c>
      <c r="E12" s="7" t="inlineStr">
        <is>
          <t>R²
(RSQ)</t>
        </is>
      </c>
      <c r="F12" s="7" t="inlineStr">
        <is>
          <t>Blume β</t>
        </is>
      </c>
      <c r="G12" s="7" t="inlineStr">
        <is>
          <t>차입금·사채
(억원)</t>
        </is>
      </c>
      <c r="H12" s="7" t="inlineStr">
        <is>
          <t>리스부채
(억원)</t>
        </is>
      </c>
      <c r="I12" s="7" t="inlineStr">
        <is>
          <t>현금
(억원)</t>
        </is>
      </c>
      <c r="J12" s="7" t="inlineStr">
        <is>
          <t>부채 D
(억원)</t>
        </is>
      </c>
      <c r="K12" s="7" t="inlineStr">
        <is>
          <t>시가총액 E
(억원)</t>
        </is>
      </c>
      <c r="L12" s="7" t="inlineStr">
        <is>
          <t>D/E</t>
        </is>
      </c>
      <c r="M12" s="7" t="inlineStr">
        <is>
          <t>βu
(Hamada)</t>
        </is>
      </c>
      <c r="N12" s="7" t="inlineStr">
        <is>
          <t>βu
(Harris-Pringle)</t>
        </is>
      </c>
      <c r="O12" s="7" t="inlineStr">
        <is>
          <t>부채 출처</t>
        </is>
      </c>
    </row>
    <row r="13">
      <c r="A13" t="inlineStr">
        <is>
          <t>192820</t>
        </is>
      </c>
      <c r="B13" t="inlineStr">
        <is>
          <t>코스맥스</t>
        </is>
      </c>
      <c r="C13" t="inlineStr">
        <is>
          <t>KOSPI</t>
        </is>
      </c>
      <c r="D13" s="8">
        <f>SLOPE(주간수익률!$B$2:$B$105,주간수익률!$H$2:$H$105)</f>
        <v/>
      </c>
      <c r="E13" s="9">
        <f>RSQ(주간수익률!$B$2:$B$105,주간수익률!$H$2:$H$105)</f>
        <v/>
      </c>
      <c r="F13" s="8">
        <f>$B$7*D13+$B$8</f>
        <v/>
      </c>
      <c r="G13" s="10" t="n">
        <v>10261.8</v>
      </c>
      <c r="H13" s="10" t="n">
        <v>612.3</v>
      </c>
      <c r="I13" s="10" t="n">
        <v>3367.26180991</v>
      </c>
      <c r="J13" s="10">
        <f>MAX(G13+$B$9*H13-$B$10*I13,0)</f>
        <v/>
      </c>
      <c r="K13" s="10" t="n">
        <v>31087.11388</v>
      </c>
      <c r="L13" s="9">
        <f>J13/K13</f>
        <v/>
      </c>
      <c r="M13" s="8">
        <f>F13/(1+(1-$B$6)*L13)</f>
        <v/>
      </c>
      <c r="N13" s="8">
        <f>F13/(1+L13)</f>
        <v/>
      </c>
      <c r="O13" t="inlineStr">
        <is>
          <t>2026 반기보고서 (연결)</t>
        </is>
      </c>
    </row>
    <row r="14">
      <c r="A14" t="inlineStr">
        <is>
          <t>161890</t>
        </is>
      </c>
      <c r="B14" t="inlineStr">
        <is>
          <t>한국콜마</t>
        </is>
      </c>
      <c r="C14" t="inlineStr">
        <is>
          <t>KOSPI</t>
        </is>
      </c>
      <c r="D14" s="8">
        <f>SLOPE(주간수익률!$C$2:$C$105,주간수익률!$H$2:$H$105)</f>
        <v/>
      </c>
      <c r="E14" s="9">
        <f>RSQ(주간수익률!$C$2:$C$105,주간수익률!$H$2:$H$105)</f>
        <v/>
      </c>
      <c r="F14" s="8">
        <f>$B$7*D14+$B$8</f>
        <v/>
      </c>
      <c r="G14" s="10" t="n">
        <v>11813.42527017</v>
      </c>
      <c r="H14" s="10" t="n">
        <v>560.80277261</v>
      </c>
      <c r="I14" s="10" t="n">
        <v>1768.17079758</v>
      </c>
      <c r="J14" s="10">
        <f>MAX(G14+$B$9*H14-$B$10*I14,0)</f>
        <v/>
      </c>
      <c r="K14" s="10" t="n">
        <v>34345.387035</v>
      </c>
      <c r="L14" s="9">
        <f>J14/K14</f>
        <v/>
      </c>
      <c r="M14" s="8">
        <f>F14/(1+(1-$B$6)*L14)</f>
        <v/>
      </c>
      <c r="N14" s="8">
        <f>F14/(1+L14)</f>
        <v/>
      </c>
      <c r="O14" t="inlineStr">
        <is>
          <t>2026 반기보고서 (연결)</t>
        </is>
      </c>
    </row>
    <row r="15">
      <c r="A15" t="inlineStr">
        <is>
          <t>241710</t>
        </is>
      </c>
      <c r="B15" t="inlineStr">
        <is>
          <t>코스메카코리아</t>
        </is>
      </c>
      <c r="C15" t="inlineStr">
        <is>
          <t>KOSDAQ</t>
        </is>
      </c>
      <c r="D15" s="8">
        <f>SLOPE(주간수익률!$D$2:$D$105,주간수익률!$H$2:$H$105)</f>
        <v/>
      </c>
      <c r="E15" s="9">
        <f>RSQ(주간수익률!$D$2:$D$105,주간수익률!$H$2:$H$105)</f>
        <v/>
      </c>
      <c r="F15" s="8">
        <f>$B$7*D15+$B$8</f>
        <v/>
      </c>
      <c r="G15" s="10" t="n">
        <v>2258.22360826</v>
      </c>
      <c r="H15" s="10" t="n">
        <v>71.45621998999999</v>
      </c>
      <c r="I15" s="10" t="n">
        <v>774.5964797399999</v>
      </c>
      <c r="J15" s="10">
        <f>MAX(G15+$B$9*H15-$B$10*I15,0)</f>
        <v/>
      </c>
      <c r="K15" s="10" t="n">
        <v>14108.28</v>
      </c>
      <c r="L15" s="9">
        <f>J15/K15</f>
        <v/>
      </c>
      <c r="M15" s="8">
        <f>F15/(1+(1-$B$6)*L15)</f>
        <v/>
      </c>
      <c r="N15" s="8">
        <f>F15/(1+L15)</f>
        <v/>
      </c>
      <c r="O15" t="inlineStr">
        <is>
          <t>2026 반기보고서 (연결)</t>
        </is>
      </c>
    </row>
    <row r="16">
      <c r="A16" t="inlineStr">
        <is>
          <t>352480</t>
        </is>
      </c>
      <c r="B16" t="inlineStr">
        <is>
          <t>씨앤씨인터내셔널</t>
        </is>
      </c>
      <c r="C16" t="inlineStr">
        <is>
          <t>KOSDAQ</t>
        </is>
      </c>
      <c r="D16" s="8">
        <f>SLOPE(주간수익률!$E$2:$E$105,주간수익률!$H$2:$H$105)</f>
        <v/>
      </c>
      <c r="E16" s="9">
        <f>RSQ(주간수익률!$E$2:$E$105,주간수익률!$H$2:$H$105)</f>
        <v/>
      </c>
      <c r="F16" s="8">
        <f>$B$7*D16+$B$8</f>
        <v/>
      </c>
      <c r="G16" s="10" t="n">
        <v>319.7998</v>
      </c>
      <c r="H16" s="10" t="n">
        <v>38.08894277</v>
      </c>
      <c r="I16" s="10" t="n">
        <v>1191.7419076</v>
      </c>
      <c r="J16" s="10">
        <f>MAX(G16+$B$9*H16-$B$10*I16,0)</f>
        <v/>
      </c>
      <c r="K16" s="10" t="n">
        <v>2941.2603</v>
      </c>
      <c r="L16" s="9">
        <f>J16/K16</f>
        <v/>
      </c>
      <c r="M16" s="8">
        <f>F16/(1+(1-$B$6)*L16)</f>
        <v/>
      </c>
      <c r="N16" s="8">
        <f>F16/(1+L16)</f>
        <v/>
      </c>
      <c r="O16" t="inlineStr">
        <is>
          <t>2026 반기보고서 (연결)</t>
        </is>
      </c>
    </row>
    <row r="17">
      <c r="A17" t="inlineStr">
        <is>
          <t>950140</t>
        </is>
      </c>
      <c r="B17" t="inlineStr">
        <is>
          <t>잉글우드랩</t>
        </is>
      </c>
      <c r="C17" t="inlineStr">
        <is>
          <t>KOSDAQ</t>
        </is>
      </c>
      <c r="D17" s="8">
        <f>SLOPE(주간수익률!$F$2:$F$105,주간수익률!$H$2:$H$105)</f>
        <v/>
      </c>
      <c r="E17" s="9">
        <f>RSQ(주간수익률!$F$2:$F$105,주간수익률!$H$2:$H$105)</f>
        <v/>
      </c>
      <c r="F17" s="8">
        <f>$B$7*D17+$B$8</f>
        <v/>
      </c>
      <c r="G17" s="10" t="n">
        <v>146.5622218127124</v>
      </c>
      <c r="H17" s="10" t="n">
        <v>44.51414979053955</v>
      </c>
      <c r="I17" s="10" t="n">
        <v>399.8450125827307</v>
      </c>
      <c r="J17" s="10">
        <f>MAX(G17+$B$9*H17-$B$10*I17,0)</f>
        <v/>
      </c>
      <c r="K17" s="10" t="n">
        <v>1633.1385852</v>
      </c>
      <c r="L17" s="9">
        <f>J17/K17</f>
        <v/>
      </c>
      <c r="M17" s="8">
        <f>F17/(1+(1-$B$6)*L17)</f>
        <v/>
      </c>
      <c r="N17" s="8">
        <f>F17/(1+L17)</f>
        <v/>
      </c>
      <c r="O17" t="inlineStr">
        <is>
          <t>2026 반기보고서 (연결)</t>
        </is>
      </c>
    </row>
    <row r="18">
      <c r="A18" t="inlineStr">
        <is>
          <t>003350</t>
        </is>
      </c>
      <c r="B18" t="inlineStr">
        <is>
          <t>한국화장품제조</t>
        </is>
      </c>
      <c r="C18" t="inlineStr">
        <is>
          <t>KOSPI</t>
        </is>
      </c>
      <c r="D18" s="8">
        <f>SLOPE(주간수익률!$G$2:$G$105,주간수익률!$H$2:$H$105)</f>
        <v/>
      </c>
      <c r="E18" s="9">
        <f>RSQ(주간수익률!$G$2:$G$105,주간수익률!$H$2:$H$105)</f>
        <v/>
      </c>
      <c r="F18" s="8">
        <f>$B$7*D18+$B$8</f>
        <v/>
      </c>
      <c r="G18" s="10" t="n">
        <v>605.30033026</v>
      </c>
      <c r="H18" s="10" t="n">
        <v>0</v>
      </c>
      <c r="I18" s="10" t="n">
        <v>620.19862427</v>
      </c>
      <c r="J18" s="10">
        <f>MAX(G18+$B$9*H18-$B$10*I18,0)</f>
        <v/>
      </c>
      <c r="K18" s="10" t="n">
        <v>3534.96</v>
      </c>
      <c r="L18" s="9">
        <f>J18/K18</f>
        <v/>
      </c>
      <c r="M18" s="8">
        <f>F18/(1+(1-$B$6)*L18)</f>
        <v/>
      </c>
      <c r="N18" s="8">
        <f>F18/(1+L18)</f>
        <v/>
      </c>
      <c r="O18" t="inlineStr">
        <is>
          <t>2026 반기보고서 (별도)</t>
        </is>
      </c>
    </row>
    <row r="19">
      <c r="B19" s="11" t="inlineStr">
        <is>
          <t>중앙값</t>
        </is>
      </c>
      <c r="D19" s="12">
        <f>MEDIAN(D13:D18)</f>
        <v/>
      </c>
      <c r="E19" s="13">
        <f>MEDIAN(E13:E18)</f>
        <v/>
      </c>
      <c r="F19" s="12">
        <f>MEDIAN(F13:F18)</f>
        <v/>
      </c>
      <c r="L19" s="13">
        <f>MEDIAN(L13:L18)</f>
        <v/>
      </c>
      <c r="M19" s="12">
        <f>MEDIAN(M13:M18)</f>
        <v/>
      </c>
      <c r="N19" s="12">
        <f>MEDIAN(N13:N18)</f>
        <v/>
      </c>
    </row>
    <row r="20">
      <c r="B20" s="11" t="inlineStr">
        <is>
          <t>평균</t>
        </is>
      </c>
      <c r="D20" s="12">
        <f>AVERAGE(D13:D18)</f>
        <v/>
      </c>
      <c r="E20" s="13">
        <f>AVERAGE(E13:E18)</f>
        <v/>
      </c>
      <c r="F20" s="12">
        <f>AVERAGE(F13:F18)</f>
        <v/>
      </c>
      <c r="L20" s="13">
        <f>AVERAGE(L13:L18)</f>
        <v/>
      </c>
      <c r="M20" s="12">
        <f>AVERAGE(M13:M18)</f>
        <v/>
      </c>
      <c r="N20" s="12">
        <f>AVERAGE(N13:N18)</f>
        <v/>
      </c>
    </row>
    <row r="22">
      <c r="A22" s="14" t="inlineStr">
        <is>
          <t>대상회사 재레버</t>
        </is>
      </c>
    </row>
    <row r="23">
      <c r="A23" t="inlineStr">
        <is>
          <t>목표 D/E (Peer 중앙값)</t>
        </is>
      </c>
      <c r="B23" s="9">
        <f>L19</f>
        <v/>
      </c>
    </row>
    <row r="24">
      <c r="A24" t="inlineStr">
        <is>
          <t>목표 D/(D+E)</t>
        </is>
      </c>
      <c r="B24" s="9">
        <f>B23/(1+B23)</f>
        <v/>
      </c>
    </row>
    <row r="25">
      <c r="A25" t="inlineStr">
        <is>
          <t>무부채 베타 βu (Peer 중앙값, Hamada)</t>
        </is>
      </c>
      <c r="B25" s="8">
        <f>M19</f>
        <v/>
      </c>
    </row>
    <row r="26">
      <c r="A26" t="inlineStr">
        <is>
          <t>재레버 베타 βL = βu × (1 + (1−t) × D/E)</t>
        </is>
      </c>
      <c r="B26" s="15">
        <f>B25*(1+(1-$B$6)*B23)</f>
        <v/>
      </c>
    </row>
    <row r="27">
      <c r="A27" t="inlineStr">
        <is>
          <t>[비교] Harris-Pringle βL = βu × (1 + D/E)</t>
        </is>
      </c>
      <c r="B27" s="8">
        <f>N19*(1+B23)</f>
        <v/>
      </c>
    </row>
    <row r="29">
      <c r="A29" t="inlineStr">
        <is>
          <t>노란 셀은 입력값. 원시 β 는 '주간수익률' 시트의 원자료로 계산되며 파이썬 결과와 자동 대조한다.</t>
        </is>
      </c>
    </row>
    <row r="30">
      <c r="A30" t="inlineStr">
        <is>
          <t>부채는 장부가(시장가치 대용), 시가총액은 평가기준일 종가 × (발행주식수 − 자기주식수).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주(금요일)</t>
        </is>
      </c>
      <c r="B1" s="7" t="inlineStr">
        <is>
          <t>코스맥스</t>
        </is>
      </c>
      <c r="C1" s="7" t="inlineStr">
        <is>
          <t>한국콜마</t>
        </is>
      </c>
      <c r="D1" s="7" t="inlineStr">
        <is>
          <t>코스메카코리아</t>
        </is>
      </c>
      <c r="E1" s="7" t="inlineStr">
        <is>
          <t>씨앤씨인터내셔널</t>
        </is>
      </c>
      <c r="F1" s="7" t="inlineStr">
        <is>
          <t>잉글우드랩</t>
        </is>
      </c>
      <c r="G1" s="7" t="inlineStr">
        <is>
          <t>한국화장품제조</t>
        </is>
      </c>
      <c r="H1" s="7" t="inlineStr">
        <is>
          <t>KOSPI 반도체 제외</t>
        </is>
      </c>
    </row>
    <row r="2">
      <c r="A2" s="16" t="n">
        <v>45562</v>
      </c>
      <c r="B2" s="17" t="n">
        <v>0.1474103585657371</v>
      </c>
      <c r="C2" s="17" t="n">
        <v>0.0584958217270195</v>
      </c>
      <c r="D2" s="17" t="n">
        <v>0</v>
      </c>
      <c r="E2" s="17" t="n">
        <v>0.03354978354978355</v>
      </c>
      <c r="F2" s="17" t="n">
        <v>0.00746268656716409</v>
      </c>
      <c r="G2" s="17" t="n">
        <v>0.01466666666666661</v>
      </c>
      <c r="H2" s="17" t="n">
        <v>0.0121746610926674</v>
      </c>
    </row>
    <row r="3">
      <c r="A3" s="16" t="n">
        <v>45569</v>
      </c>
      <c r="B3" s="17" t="n">
        <v>-0.04305555555555551</v>
      </c>
      <c r="C3" s="17" t="n">
        <v>-0.07236842105263153</v>
      </c>
      <c r="D3" s="17" t="n">
        <v>-0.0917127071823205</v>
      </c>
      <c r="E3" s="17" t="n">
        <v>-0.07853403141361259</v>
      </c>
      <c r="F3" s="17" t="n">
        <v>-0.04222222222222227</v>
      </c>
      <c r="G3" s="17" t="n">
        <v>-0.003942181340341633</v>
      </c>
      <c r="H3" s="17" t="n">
        <v>-0.02184282169600016</v>
      </c>
    </row>
    <row r="4">
      <c r="A4" s="16" t="n">
        <v>45576</v>
      </c>
      <c r="B4" s="17" t="n">
        <v>-0.01596516690856309</v>
      </c>
      <c r="C4" s="17" t="n">
        <v>-0.01843971631205676</v>
      </c>
      <c r="D4" s="17" t="n">
        <v>-0.05474452554744524</v>
      </c>
      <c r="E4" s="17" t="n">
        <v>-0.07045454545454544</v>
      </c>
      <c r="F4" s="17" t="n">
        <v>-0.04098994586233562</v>
      </c>
      <c r="G4" s="17" t="n">
        <v>0.01319261213720324</v>
      </c>
      <c r="H4" s="17" t="n">
        <v>0.01493235928917769</v>
      </c>
    </row>
    <row r="5">
      <c r="A5" s="16" t="n">
        <v>45583</v>
      </c>
      <c r="B5" s="17" t="n">
        <v>0.03097345132743357</v>
      </c>
      <c r="C5" s="17" t="n">
        <v>0.04190751445086716</v>
      </c>
      <c r="D5" s="17" t="n">
        <v>-0.03088803088803094</v>
      </c>
      <c r="E5" s="17" t="n">
        <v>-0.07579462102689483</v>
      </c>
      <c r="F5" s="17" t="n">
        <v>-0.03629032258064513</v>
      </c>
      <c r="G5" s="17" t="n">
        <v>0.09765625</v>
      </c>
      <c r="H5" s="17" t="n">
        <v>-0.002712853093412182</v>
      </c>
    </row>
    <row r="6">
      <c r="A6" s="16" t="n">
        <v>45590</v>
      </c>
      <c r="B6" s="17" t="n">
        <v>-0.04864091559370531</v>
      </c>
      <c r="C6" s="17" t="n">
        <v>-0.07905686546463242</v>
      </c>
      <c r="D6" s="17" t="n">
        <v>-0.03718459495351922</v>
      </c>
      <c r="E6" s="17" t="n">
        <v>-0.08994708994709</v>
      </c>
      <c r="F6" s="17" t="n">
        <v>-0.07531380753138073</v>
      </c>
      <c r="G6" s="17" t="n">
        <v>-0.1269276393831554</v>
      </c>
      <c r="H6" s="17" t="n">
        <v>0.001979855306609046</v>
      </c>
    </row>
    <row r="7">
      <c r="A7" s="16" t="n">
        <v>45597</v>
      </c>
      <c r="B7" s="17" t="n">
        <v>0.1518796992481204</v>
      </c>
      <c r="C7" s="17" t="n">
        <v>0.02108433734939763</v>
      </c>
      <c r="D7" s="17" t="n">
        <v>0.07172413793103449</v>
      </c>
      <c r="E7" s="17" t="n">
        <v>-0.07703488372093026</v>
      </c>
      <c r="F7" s="17" t="n">
        <v>-0.02352941176470591</v>
      </c>
      <c r="G7" s="17" t="n">
        <v>0.03125</v>
      </c>
      <c r="H7" s="17" t="n">
        <v>-0.02160413401847416</v>
      </c>
    </row>
    <row r="8">
      <c r="A8" s="16" t="n">
        <v>45604</v>
      </c>
      <c r="B8" s="17" t="n">
        <v>0.005874673629242766</v>
      </c>
      <c r="C8" s="17" t="n">
        <v>-0.09734513274336287</v>
      </c>
      <c r="D8" s="17" t="n">
        <v>0.03474903474903468</v>
      </c>
      <c r="E8" s="17" t="n">
        <v>-0.02204724409448822</v>
      </c>
      <c r="F8" s="17" t="n">
        <v>0.08897126969416136</v>
      </c>
      <c r="G8" s="17" t="n">
        <v>0.03030303030303028</v>
      </c>
      <c r="H8" s="17" t="n">
        <v>0.006708281858679443</v>
      </c>
    </row>
    <row r="9">
      <c r="A9" s="16" t="n">
        <v>45611</v>
      </c>
      <c r="B9" s="17" t="n">
        <v>-0.1213497728747567</v>
      </c>
      <c r="C9" s="17" t="n">
        <v>-0.1127450980392157</v>
      </c>
      <c r="D9" s="17" t="n">
        <v>-0.2524875621890548</v>
      </c>
      <c r="E9" s="17" t="n">
        <v>-0.3639291465378421</v>
      </c>
      <c r="F9" s="17" t="n">
        <v>-0.3565957446808511</v>
      </c>
      <c r="G9" s="17" t="n">
        <v>-0.2672634271099744</v>
      </c>
      <c r="H9" s="17" t="n">
        <v>-0.05080853498779314</v>
      </c>
    </row>
    <row r="10">
      <c r="A10" s="16" t="n">
        <v>45618</v>
      </c>
      <c r="B10" s="17" t="n">
        <v>-0.0214180206794683</v>
      </c>
      <c r="C10" s="17" t="n">
        <v>-0.003683241252302016</v>
      </c>
      <c r="D10" s="17" t="n">
        <v>-0.1214642262895175</v>
      </c>
      <c r="E10" s="17" t="n">
        <v>-0.001265822784810133</v>
      </c>
      <c r="F10" s="17" t="n">
        <v>-0.02380952380952384</v>
      </c>
      <c r="G10" s="17" t="n">
        <v>-0.1282722513089005</v>
      </c>
      <c r="H10" s="17" t="n">
        <v>0.03583405027170272</v>
      </c>
    </row>
    <row r="11">
      <c r="A11" s="16" t="n">
        <v>45625</v>
      </c>
      <c r="B11" s="17" t="n">
        <v>0.003773584905660377</v>
      </c>
      <c r="C11" s="17" t="n">
        <v>-0.02402957486136781</v>
      </c>
      <c r="D11" s="17" t="n">
        <v>-0.04734848484848486</v>
      </c>
      <c r="E11" s="17" t="n">
        <v>0.01140684410646386</v>
      </c>
      <c r="F11" s="17" t="n">
        <v>-0.03116531165311653</v>
      </c>
      <c r="G11" s="17" t="n">
        <v>-0.1131131131131131</v>
      </c>
      <c r="H11" s="17" t="n">
        <v>-0.008138400758235131</v>
      </c>
    </row>
    <row r="12">
      <c r="A12" s="16" t="n">
        <v>45632</v>
      </c>
      <c r="B12" s="17" t="n">
        <v>0.02556390977443601</v>
      </c>
      <c r="C12" s="17" t="n">
        <v>-0.02272727272727271</v>
      </c>
      <c r="D12" s="17" t="n">
        <v>-0.02783300198807159</v>
      </c>
      <c r="E12" s="17" t="n">
        <v>0.01378446115288212</v>
      </c>
      <c r="F12" s="17" t="n">
        <v>-0.009790209790209836</v>
      </c>
      <c r="G12" s="17" t="n">
        <v>0.02031602708803604</v>
      </c>
      <c r="H12" s="17" t="n">
        <v>-0.01748263329925592</v>
      </c>
    </row>
    <row r="13">
      <c r="A13" s="16" t="n">
        <v>45639</v>
      </c>
      <c r="B13" s="17" t="n">
        <v>0.09090909090909083</v>
      </c>
      <c r="C13" s="17" t="n">
        <v>0.08139534883720922</v>
      </c>
      <c r="D13" s="17" t="n">
        <v>0.1186094069529653</v>
      </c>
      <c r="E13" s="17" t="n">
        <v>0.09394313967861567</v>
      </c>
      <c r="F13" s="17" t="n">
        <v>0.01271186440677963</v>
      </c>
      <c r="G13" s="17" t="n">
        <v>0.1592920353982301</v>
      </c>
      <c r="H13" s="17" t="n">
        <v>0.02345526268958786</v>
      </c>
    </row>
    <row r="14">
      <c r="A14" s="16" t="n">
        <v>45646</v>
      </c>
      <c r="B14" s="17" t="n">
        <v>0.01344086021505375</v>
      </c>
      <c r="C14" s="17" t="n">
        <v>-0.03942652329749108</v>
      </c>
      <c r="D14" s="17" t="n">
        <v>-0.04387568555758681</v>
      </c>
      <c r="E14" s="17" t="n">
        <v>0.02146892655367227</v>
      </c>
      <c r="F14" s="17" t="n">
        <v>-0.04044630404463045</v>
      </c>
      <c r="G14" s="17" t="n">
        <v>-0.05820610687022898</v>
      </c>
      <c r="H14" s="17" t="n">
        <v>-0.03076040622797949</v>
      </c>
    </row>
    <row r="15">
      <c r="A15" s="16" t="n">
        <v>45653</v>
      </c>
      <c r="B15" s="17" t="n">
        <v>-0.01392572944297077</v>
      </c>
      <c r="C15" s="17" t="n">
        <v>0.005597014925373234</v>
      </c>
      <c r="D15" s="17" t="n">
        <v>0.01338432122370947</v>
      </c>
      <c r="E15" s="17" t="n">
        <v>-0.01438053097345138</v>
      </c>
      <c r="F15" s="17" t="n">
        <v>-0.04360465116279066</v>
      </c>
      <c r="G15" s="17" t="n">
        <v>0.03140830800405259</v>
      </c>
      <c r="H15" s="17" t="n">
        <v>-0.006347768850724855</v>
      </c>
    </row>
    <row r="16">
      <c r="A16" s="16" t="n">
        <v>45660</v>
      </c>
      <c r="B16" s="17" t="n">
        <v>-0.02555480833893742</v>
      </c>
      <c r="C16" s="17" t="n">
        <v>0.04452690166975892</v>
      </c>
      <c r="D16" s="17" t="n">
        <v>0.02641509433962264</v>
      </c>
      <c r="E16" s="17" t="n">
        <v>0.01010101010101017</v>
      </c>
      <c r="F16" s="17" t="n">
        <v>0.06686930091185417</v>
      </c>
      <c r="G16" s="17" t="n">
        <v>0.02750491159135571</v>
      </c>
      <c r="H16" s="17" t="n">
        <v>0.01388087734746901</v>
      </c>
    </row>
    <row r="17">
      <c r="A17" s="16" t="n">
        <v>45667</v>
      </c>
      <c r="B17" s="17" t="n">
        <v>0.01725327812284339</v>
      </c>
      <c r="C17" s="17" t="n">
        <v>0.005328596802841812</v>
      </c>
      <c r="D17" s="17" t="n">
        <v>-0.06985294117647056</v>
      </c>
      <c r="E17" s="17" t="n">
        <v>-0.0822222222222222</v>
      </c>
      <c r="F17" s="17" t="n">
        <v>-0.01424501424501423</v>
      </c>
      <c r="G17" s="17" t="n">
        <v>-0.017208413001912</v>
      </c>
      <c r="H17" s="17" t="n">
        <v>0.02569157229887775</v>
      </c>
    </row>
    <row r="18">
      <c r="A18" s="16" t="n">
        <v>45674</v>
      </c>
      <c r="B18" s="17" t="n">
        <v>0.1363636363636365</v>
      </c>
      <c r="C18" s="17" t="n">
        <v>0.06713780918727918</v>
      </c>
      <c r="D18" s="17" t="n">
        <v>0.05138339920948609</v>
      </c>
      <c r="E18" s="17" t="n">
        <v>-0.0266343825665859</v>
      </c>
      <c r="F18" s="17" t="n">
        <v>0.004335260115607031</v>
      </c>
      <c r="G18" s="17" t="n">
        <v>-0.06128404669260701</v>
      </c>
      <c r="H18" s="17" t="n">
        <v>0.006239341223758021</v>
      </c>
    </row>
    <row r="19">
      <c r="A19" s="16" t="n">
        <v>45681</v>
      </c>
      <c r="B19" s="17" t="n">
        <v>-0.02208955223880593</v>
      </c>
      <c r="C19" s="17" t="n">
        <v>-0.006622516556291425</v>
      </c>
      <c r="D19" s="17" t="n">
        <v>-0.02255639097744366</v>
      </c>
      <c r="E19" s="17" t="n">
        <v>-0.1318407960199005</v>
      </c>
      <c r="F19" s="17" t="n">
        <v>-0.01726618705035976</v>
      </c>
      <c r="G19" s="17" t="n">
        <v>-0.04145077720207258</v>
      </c>
      <c r="H19" s="17" t="n">
        <v>0.003908511137719728</v>
      </c>
    </row>
    <row r="20">
      <c r="A20" s="16" t="n">
        <v>45688</v>
      </c>
      <c r="B20" s="17" t="n">
        <v>0.00366300366300365</v>
      </c>
      <c r="C20" s="17" t="n">
        <v>0.01000000000000001</v>
      </c>
      <c r="D20" s="17" t="n">
        <v>-0.005769230769230749</v>
      </c>
      <c r="E20" s="17" t="n">
        <v>0.005730659025787954</v>
      </c>
      <c r="F20" s="17" t="n">
        <v>0.03074670571010252</v>
      </c>
      <c r="G20" s="17" t="n">
        <v>-0.00216216216216214</v>
      </c>
      <c r="H20" s="17" t="n">
        <v>0.005460607769976145</v>
      </c>
    </row>
    <row r="21">
      <c r="A21" s="16" t="n">
        <v>45695</v>
      </c>
      <c r="B21" s="17" t="n">
        <v>-0.05231143552311435</v>
      </c>
      <c r="C21" s="17" t="n">
        <v>-0.00990099009900991</v>
      </c>
      <c r="D21" s="17" t="n">
        <v>-0.01740812379110257</v>
      </c>
      <c r="E21" s="17" t="n">
        <v>0</v>
      </c>
      <c r="F21" s="17" t="n">
        <v>0.2542613636363635</v>
      </c>
      <c r="G21" s="17" t="n">
        <v>-0.02275189599133265</v>
      </c>
      <c r="H21" s="17" t="n">
        <v>-0.005023878543648164</v>
      </c>
    </row>
    <row r="22">
      <c r="A22" s="16" t="n">
        <v>45702</v>
      </c>
      <c r="B22" s="17" t="n">
        <v>-0.02182284980744542</v>
      </c>
      <c r="C22" s="17" t="n">
        <v>-0.02833333333333332</v>
      </c>
      <c r="D22" s="17" t="n">
        <v>-0.003937007874015741</v>
      </c>
      <c r="E22" s="17" t="n">
        <v>0.05698005698005693</v>
      </c>
      <c r="F22" s="17" t="n">
        <v>-0.002265005662514197</v>
      </c>
      <c r="G22" s="17" t="n">
        <v>-0.009977827050997812</v>
      </c>
      <c r="H22" s="17" t="n">
        <v>0.02334706927302155</v>
      </c>
    </row>
    <row r="23">
      <c r="A23" s="16" t="n">
        <v>45709</v>
      </c>
      <c r="B23" s="17" t="n">
        <v>0.05774278215223094</v>
      </c>
      <c r="C23" s="17" t="n">
        <v>0.008576329331046351</v>
      </c>
      <c r="D23" s="17" t="n">
        <v>-0.06521739130434778</v>
      </c>
      <c r="E23" s="17" t="n">
        <v>0.03638814016172498</v>
      </c>
      <c r="F23" s="17" t="n">
        <v>0.009080590238365494</v>
      </c>
      <c r="G23" s="17" t="n">
        <v>0.0907054871220605</v>
      </c>
      <c r="H23" s="17" t="n">
        <v>0.0230082380803629</v>
      </c>
    </row>
    <row r="24">
      <c r="A24" s="16" t="n">
        <v>45716</v>
      </c>
      <c r="B24" s="17" t="n">
        <v>0.0626550868486353</v>
      </c>
      <c r="C24" s="17" t="n">
        <v>0.04421768707482987</v>
      </c>
      <c r="D24" s="17" t="n">
        <v>-0.1522198731501057</v>
      </c>
      <c r="E24" s="17" t="n">
        <v>-0.08062418725617682</v>
      </c>
      <c r="F24" s="17" t="n">
        <v>-0.1822272215973003</v>
      </c>
      <c r="G24" s="17" t="n">
        <v>0.01334702258726894</v>
      </c>
      <c r="H24" s="17" t="n">
        <v>-0.03677927057839958</v>
      </c>
    </row>
    <row r="25">
      <c r="A25" s="16" t="n">
        <v>45723</v>
      </c>
      <c r="B25" s="17" t="n">
        <v>0.07589025102159952</v>
      </c>
      <c r="C25" s="17" t="n">
        <v>0.03257328990228014</v>
      </c>
      <c r="D25" s="17" t="n">
        <v>0.08603491271820451</v>
      </c>
      <c r="E25" s="17" t="n">
        <v>-0.04243281471004245</v>
      </c>
      <c r="F25" s="17" t="n">
        <v>0.05639614855570829</v>
      </c>
      <c r="G25" s="17" t="n">
        <v>-0.03647416413373861</v>
      </c>
      <c r="H25" s="17" t="n">
        <v>0.01756778316435215</v>
      </c>
    </row>
    <row r="26">
      <c r="A26" s="16" t="n">
        <v>45730</v>
      </c>
      <c r="B26" s="17" t="n">
        <v>-0.015735214324471</v>
      </c>
      <c r="C26" s="17" t="n">
        <v>0.04258675078864349</v>
      </c>
      <c r="D26" s="17" t="n">
        <v>0.02066590126291623</v>
      </c>
      <c r="E26" s="17" t="n">
        <v>0.2865583456425407</v>
      </c>
      <c r="F26" s="17" t="n">
        <v>0.0234375</v>
      </c>
      <c r="G26" s="17" t="n">
        <v>0.03995793901156675</v>
      </c>
      <c r="H26" s="17" t="n">
        <v>-0.007729876783001299</v>
      </c>
    </row>
    <row r="27">
      <c r="A27" s="16" t="n">
        <v>45737</v>
      </c>
      <c r="B27" s="17" t="n">
        <v>-0.004961411245865466</v>
      </c>
      <c r="C27" s="17" t="n">
        <v>0</v>
      </c>
      <c r="D27" s="17" t="n">
        <v>0.03712035995500562</v>
      </c>
      <c r="E27" s="17" t="n">
        <v>-0.04822043628013772</v>
      </c>
      <c r="F27" s="17" t="n">
        <v>0.007633587786259444</v>
      </c>
      <c r="G27" s="17" t="n">
        <v>0.02123356926188058</v>
      </c>
      <c r="H27" s="17" t="n">
        <v>0.005769734348869404</v>
      </c>
    </row>
    <row r="28">
      <c r="A28" s="16" t="n">
        <v>45744</v>
      </c>
      <c r="B28" s="17" t="n">
        <v>-0.04653739612188368</v>
      </c>
      <c r="C28" s="17" t="n">
        <v>-0.02723146747352501</v>
      </c>
      <c r="D28" s="17" t="n">
        <v>0.008676789587852562</v>
      </c>
      <c r="E28" s="17" t="n">
        <v>-0.04704463208685161</v>
      </c>
      <c r="F28" s="17" t="n">
        <v>0.01010101010101017</v>
      </c>
      <c r="G28" s="17" t="n">
        <v>0.04158415841584162</v>
      </c>
      <c r="H28" s="17" t="n">
        <v>-0.03008617276127468</v>
      </c>
    </row>
    <row r="29">
      <c r="A29" s="16" t="n">
        <v>45751</v>
      </c>
      <c r="B29" s="17" t="n">
        <v>-0.00987797791981404</v>
      </c>
      <c r="C29" s="17" t="n">
        <v>0.06065318818040444</v>
      </c>
      <c r="D29" s="17" t="n">
        <v>0.04946236559139794</v>
      </c>
      <c r="E29" s="17" t="n">
        <v>-0.1151898734177215</v>
      </c>
      <c r="F29" s="17" t="n">
        <v>0.1975</v>
      </c>
      <c r="G29" s="17" t="n">
        <v>0.02661596958174894</v>
      </c>
      <c r="H29" s="17" t="n">
        <v>-0.02354854952694196</v>
      </c>
    </row>
    <row r="30">
      <c r="A30" s="16" t="n">
        <v>45758</v>
      </c>
      <c r="B30" s="17" t="n">
        <v>-0.03169014084507038</v>
      </c>
      <c r="C30" s="17" t="n">
        <v>0.03958944281524923</v>
      </c>
      <c r="D30" s="17" t="n">
        <v>-0.07377049180327866</v>
      </c>
      <c r="E30" s="17" t="n">
        <v>-0.1030042918454935</v>
      </c>
      <c r="F30" s="17" t="n">
        <v>-0.08246346555323592</v>
      </c>
      <c r="G30" s="17" t="n">
        <v>0.003703703703703765</v>
      </c>
      <c r="H30" s="17" t="n">
        <v>-0.01312105885986414</v>
      </c>
    </row>
    <row r="31">
      <c r="A31" s="16" t="n">
        <v>45765</v>
      </c>
      <c r="B31" s="17" t="n">
        <v>0.01151515151515148</v>
      </c>
      <c r="C31" s="17" t="n">
        <v>0.03667136812411842</v>
      </c>
      <c r="D31" s="17" t="n">
        <v>0.07743362831858414</v>
      </c>
      <c r="E31" s="17" t="n">
        <v>0.07177033492822971</v>
      </c>
      <c r="F31" s="17" t="n">
        <v>0.222980659840728</v>
      </c>
      <c r="G31" s="17" t="n">
        <v>-0.02583025830258301</v>
      </c>
      <c r="H31" s="17" t="n">
        <v>0.03025715476526436</v>
      </c>
    </row>
    <row r="32">
      <c r="A32" s="16" t="n">
        <v>45772</v>
      </c>
      <c r="B32" s="17" t="n">
        <v>0.01857399640503288</v>
      </c>
      <c r="C32" s="17" t="n">
        <v>0.01496598639455793</v>
      </c>
      <c r="D32" s="17" t="n">
        <v>-0.1016427104722792</v>
      </c>
      <c r="E32" s="17" t="n">
        <v>-0.02380952380952384</v>
      </c>
      <c r="F32" s="17" t="n">
        <v>-0.01860465116279075</v>
      </c>
      <c r="G32" s="17" t="n">
        <v>-0.03030303030303028</v>
      </c>
      <c r="H32" s="17" t="n">
        <v>0.02713486051525216</v>
      </c>
    </row>
    <row r="33">
      <c r="A33" s="16" t="n">
        <v>45779</v>
      </c>
      <c r="B33" s="17" t="n">
        <v>0.02647058823529402</v>
      </c>
      <c r="C33" s="17" t="n">
        <v>0.01340482573726542</v>
      </c>
      <c r="D33" s="17" t="n">
        <v>0.002285714285714224</v>
      </c>
      <c r="E33" s="17" t="n">
        <v>0.02896341463414642</v>
      </c>
      <c r="F33" s="17" t="n">
        <v>0.03317535545023698</v>
      </c>
      <c r="G33" s="17" t="n">
        <v>0.08203125</v>
      </c>
      <c r="H33" s="17" t="n">
        <v>0.01196330622311903</v>
      </c>
    </row>
    <row r="34">
      <c r="A34" s="16" t="n">
        <v>45786</v>
      </c>
      <c r="B34" s="17" t="n">
        <v>0.1203438395415473</v>
      </c>
      <c r="C34" s="17" t="n">
        <v>0.1058201058201058</v>
      </c>
      <c r="D34" s="17" t="n">
        <v>0.06157354618015964</v>
      </c>
      <c r="E34" s="17" t="n">
        <v>-0.05185185185185182</v>
      </c>
      <c r="F34" s="17" t="n">
        <v>0.02293577981651373</v>
      </c>
      <c r="G34" s="17" t="n">
        <v>0.01083032490974722</v>
      </c>
      <c r="H34" s="17" t="n">
        <v>0.004967991051126663</v>
      </c>
    </row>
    <row r="35">
      <c r="A35" s="16" t="n">
        <v>45793</v>
      </c>
      <c r="B35" s="17" t="n">
        <v>0.07416879795396425</v>
      </c>
      <c r="C35" s="17" t="n">
        <v>-0.009569377990430672</v>
      </c>
      <c r="D35" s="17" t="n">
        <v>-0.09237379162191195</v>
      </c>
      <c r="E35" s="17" t="n">
        <v>0.1421874999999999</v>
      </c>
      <c r="F35" s="17" t="n">
        <v>-0.07623318385650224</v>
      </c>
      <c r="G35" s="17" t="n">
        <v>-0.08214285714285718</v>
      </c>
      <c r="H35" s="17" t="n">
        <v>0.01090263532518376</v>
      </c>
    </row>
    <row r="36">
      <c r="A36" s="16" t="n">
        <v>45800</v>
      </c>
      <c r="B36" s="17" t="n">
        <v>-0.002380952380952372</v>
      </c>
      <c r="C36" s="17" t="n">
        <v>0.02173913043478271</v>
      </c>
      <c r="D36" s="17" t="n">
        <v>0.2662721893491125</v>
      </c>
      <c r="E36" s="17" t="n">
        <v>0.1860465116279071</v>
      </c>
      <c r="F36" s="17" t="n">
        <v>0.08252427184466016</v>
      </c>
      <c r="G36" s="17" t="n">
        <v>-0.03793774319066145</v>
      </c>
      <c r="H36" s="17" t="n">
        <v>-0.005140027893671073</v>
      </c>
    </row>
    <row r="37">
      <c r="A37" s="16" t="n">
        <v>45807</v>
      </c>
      <c r="B37" s="17" t="n">
        <v>0.002386634844868674</v>
      </c>
      <c r="C37" s="17" t="n">
        <v>-0.01891252955082745</v>
      </c>
      <c r="D37" s="17" t="n">
        <v>-0.05981308411214958</v>
      </c>
      <c r="E37" s="17" t="n">
        <v>-0.1545559400230681</v>
      </c>
      <c r="F37" s="17" t="n">
        <v>-0.05291479820627798</v>
      </c>
      <c r="G37" s="17" t="n">
        <v>0.002022244691607611</v>
      </c>
      <c r="H37" s="17" t="n">
        <v>0.04344129561649068</v>
      </c>
    </row>
    <row r="38">
      <c r="A38" s="16" t="n">
        <v>45814</v>
      </c>
      <c r="B38" s="17" t="n">
        <v>0.06904761904761902</v>
      </c>
      <c r="C38" s="17" t="n">
        <v>0.02409638554216875</v>
      </c>
      <c r="D38" s="17" t="n">
        <v>0.01789264413518876</v>
      </c>
      <c r="E38" s="17" t="n">
        <v>-0.04502046384720326</v>
      </c>
      <c r="F38" s="17" t="n">
        <v>0.008522727272727293</v>
      </c>
      <c r="G38" s="17" t="n">
        <v>0.02724520686175591</v>
      </c>
      <c r="H38" s="17" t="n">
        <v>0.03549868645930365</v>
      </c>
    </row>
    <row r="39">
      <c r="A39" s="16" t="n">
        <v>45821</v>
      </c>
      <c r="B39" s="17" t="n">
        <v>0.06458797327394206</v>
      </c>
      <c r="C39" s="17" t="n">
        <v>0.0388235294117647</v>
      </c>
      <c r="D39" s="17" t="n">
        <v>0.0703125</v>
      </c>
      <c r="E39" s="17" t="n">
        <v>-0.06571428571428573</v>
      </c>
      <c r="F39" s="17" t="n">
        <v>0.1098591549295775</v>
      </c>
      <c r="G39" s="17" t="n">
        <v>0.01768172888015718</v>
      </c>
      <c r="H39" s="17" t="n">
        <v>0.03724180971387159</v>
      </c>
    </row>
    <row r="40">
      <c r="A40" s="16" t="n">
        <v>45828</v>
      </c>
      <c r="B40" s="17" t="n">
        <v>0.1694560669456067</v>
      </c>
      <c r="C40" s="17" t="n">
        <v>0.02265005662514152</v>
      </c>
      <c r="D40" s="17" t="n">
        <v>0.1277372262773722</v>
      </c>
      <c r="E40" s="17" t="n">
        <v>0.04434250764525993</v>
      </c>
      <c r="F40" s="17" t="n">
        <v>0.01184433164128595</v>
      </c>
      <c r="G40" s="17" t="n">
        <v>0.1389961389961389</v>
      </c>
      <c r="H40" s="17" t="n">
        <v>0.04431724239868373</v>
      </c>
    </row>
    <row r="41">
      <c r="A41" s="16" t="n">
        <v>45835</v>
      </c>
      <c r="B41" s="17" t="n">
        <v>-0.03220035778175312</v>
      </c>
      <c r="C41" s="17" t="n">
        <v>0.01550387596899228</v>
      </c>
      <c r="D41" s="17" t="n">
        <v>-0.06148867313915862</v>
      </c>
      <c r="E41" s="17" t="n">
        <v>-0.04831625183016108</v>
      </c>
      <c r="F41" s="17" t="n">
        <v>-0.0418060200668896</v>
      </c>
      <c r="G41" s="17" t="n">
        <v>-0.06440677966101693</v>
      </c>
      <c r="H41" s="17" t="n">
        <v>-0.0005350702447907141</v>
      </c>
    </row>
    <row r="42">
      <c r="A42" s="16" t="n">
        <v>45842</v>
      </c>
      <c r="B42" s="17" t="n">
        <v>-0.08872458410351203</v>
      </c>
      <c r="C42" s="17" t="n">
        <v>0.04252998909487449</v>
      </c>
      <c r="D42" s="17" t="n">
        <v>-0.03793103448275859</v>
      </c>
      <c r="E42" s="17" t="n">
        <v>0.1015384615384616</v>
      </c>
      <c r="F42" s="17" t="n">
        <v>0.05759162303664911</v>
      </c>
      <c r="G42" s="17" t="n">
        <v>-0.02536231884057971</v>
      </c>
      <c r="H42" s="17" t="n">
        <v>-0.004247071267570957</v>
      </c>
    </row>
    <row r="43">
      <c r="A43" s="16" t="n">
        <v>45849</v>
      </c>
      <c r="B43" s="17" t="n">
        <v>-0.004056795131845869</v>
      </c>
      <c r="C43" s="17" t="n">
        <v>0.1077405857740585</v>
      </c>
      <c r="D43" s="17" t="n">
        <v>0.2043010752688172</v>
      </c>
      <c r="E43" s="17" t="n">
        <v>0.2206703910614525</v>
      </c>
      <c r="F43" s="17" t="n">
        <v>0.1740924092409242</v>
      </c>
      <c r="G43" s="17" t="n">
        <v>0.224907063197026</v>
      </c>
      <c r="H43" s="17" t="n">
        <v>0.04588281179244524</v>
      </c>
    </row>
    <row r="44">
      <c r="A44" s="16" t="n">
        <v>45856</v>
      </c>
      <c r="B44" s="17" t="n">
        <v>-0.01018329938900209</v>
      </c>
      <c r="C44" s="17" t="n">
        <v>-0.07176581680830973</v>
      </c>
      <c r="D44" s="17" t="n">
        <v>0.007440476190476275</v>
      </c>
      <c r="E44" s="17" t="n">
        <v>0.1052631578947369</v>
      </c>
      <c r="F44" s="17" t="n">
        <v>-0.02248770203794803</v>
      </c>
      <c r="G44" s="17" t="n">
        <v>-0.08952959028831564</v>
      </c>
      <c r="H44" s="17" t="n">
        <v>-0.0001086500862376161</v>
      </c>
    </row>
    <row r="45">
      <c r="A45" s="16" t="n">
        <v>45863</v>
      </c>
      <c r="B45" s="17" t="n">
        <v>-0.02469135802469136</v>
      </c>
      <c r="C45" s="17" t="n">
        <v>-0.04272634791454732</v>
      </c>
      <c r="D45" s="17" t="n">
        <v>-0.01477104874446089</v>
      </c>
      <c r="E45" s="17" t="n">
        <v>-0.1635610766045549</v>
      </c>
      <c r="F45" s="17" t="n">
        <v>0.01078360891444996</v>
      </c>
      <c r="G45" s="17" t="n">
        <v>0.04000000000000004</v>
      </c>
      <c r="H45" s="17" t="n">
        <v>0.008213637343539304</v>
      </c>
    </row>
    <row r="46">
      <c r="A46" s="16" t="n">
        <v>45870</v>
      </c>
      <c r="B46" s="17" t="n">
        <v>0.006329113924050667</v>
      </c>
      <c r="C46" s="17" t="n">
        <v>-0.01168969181721569</v>
      </c>
      <c r="D46" s="17" t="n">
        <v>-0.02998500749625188</v>
      </c>
      <c r="E46" s="17" t="n">
        <v>0.0259900990099009</v>
      </c>
      <c r="F46" s="17" t="n">
        <v>-0.03271692745376953</v>
      </c>
      <c r="G46" s="17" t="n">
        <v>0.009615384615384581</v>
      </c>
      <c r="H46" s="17" t="n">
        <v>-0.03813427765031097</v>
      </c>
    </row>
    <row r="47">
      <c r="A47" s="16" t="n">
        <v>45877</v>
      </c>
      <c r="B47" s="17" t="n">
        <v>0.09224318658280928</v>
      </c>
      <c r="C47" s="17" t="n">
        <v>-0.04408602150537633</v>
      </c>
      <c r="D47" s="17" t="n">
        <v>0.04636785162287471</v>
      </c>
      <c r="E47" s="17" t="n">
        <v>0.006031363088057962</v>
      </c>
      <c r="F47" s="17" t="n">
        <v>0.1147058823529412</v>
      </c>
      <c r="G47" s="17" t="n">
        <v>0.06349206349206349</v>
      </c>
      <c r="H47" s="17" t="n">
        <v>0.02930841362552394</v>
      </c>
    </row>
    <row r="48">
      <c r="A48" s="16" t="n">
        <v>45884</v>
      </c>
      <c r="B48" s="17" t="n">
        <v>-0.2702495201535509</v>
      </c>
      <c r="C48" s="17" t="n">
        <v>-0.1034870641169854</v>
      </c>
      <c r="D48" s="17" t="n">
        <v>-0.0768094534711965</v>
      </c>
      <c r="E48" s="17" t="n">
        <v>-0.0227817745803357</v>
      </c>
      <c r="F48" s="17" t="n">
        <v>-0.1444591029023746</v>
      </c>
      <c r="G48" s="17" t="n">
        <v>-0.05074626865671639</v>
      </c>
      <c r="H48" s="17" t="n">
        <v>-0.0001723258702895913</v>
      </c>
    </row>
    <row r="49">
      <c r="A49" s="16" t="n">
        <v>45891</v>
      </c>
      <c r="B49" s="17" t="n">
        <v>0.120462914255655</v>
      </c>
      <c r="C49" s="17" t="n">
        <v>-0.007528230865746499</v>
      </c>
      <c r="D49" s="17" t="n">
        <v>0.004799999999999915</v>
      </c>
      <c r="E49" s="17" t="n">
        <v>0.05766871165644161</v>
      </c>
      <c r="F49" s="17" t="n">
        <v>-0.02698535080956055</v>
      </c>
      <c r="G49" s="17" t="n">
        <v>-0.08018867924528306</v>
      </c>
      <c r="H49" s="17" t="n">
        <v>-0.01371302048075462</v>
      </c>
    </row>
    <row r="50">
      <c r="A50" s="16" t="n">
        <v>45898</v>
      </c>
      <c r="B50" s="17" t="n">
        <v>0.01643192488262901</v>
      </c>
      <c r="C50" s="17" t="n">
        <v>-0.01643489254108721</v>
      </c>
      <c r="D50" s="17" t="n">
        <v>-0.0079617834394905</v>
      </c>
      <c r="E50" s="17" t="n">
        <v>0.01624129930394425</v>
      </c>
      <c r="F50" s="17" t="n">
        <v>0.06101426307448499</v>
      </c>
      <c r="G50" s="17" t="n">
        <v>-0.01709401709401714</v>
      </c>
      <c r="H50" s="17" t="n">
        <v>0.006429123206582954</v>
      </c>
    </row>
    <row r="51">
      <c r="A51" s="16" t="n">
        <v>45905</v>
      </c>
      <c r="B51" s="17" t="n">
        <v>-0.01154734411085445</v>
      </c>
      <c r="C51" s="17" t="n">
        <v>-0.02570694087403602</v>
      </c>
      <c r="D51" s="17" t="n">
        <v>-0.0626003210272873</v>
      </c>
      <c r="E51" s="17" t="n">
        <v>-0.06735159817351599</v>
      </c>
      <c r="F51" s="17" t="n">
        <v>-0.07542942494398808</v>
      </c>
      <c r="G51" s="17" t="n">
        <v>0.03304347826086951</v>
      </c>
      <c r="H51" s="17" t="n">
        <v>0.006724570730975987</v>
      </c>
    </row>
    <row r="52">
      <c r="A52" s="16" t="n">
        <v>45912</v>
      </c>
      <c r="B52" s="17" t="n">
        <v>0.02570093457943923</v>
      </c>
      <c r="C52" s="17" t="n">
        <v>0.04353562005277034</v>
      </c>
      <c r="D52" s="17" t="n">
        <v>0.1335616438356164</v>
      </c>
      <c r="E52" s="17" t="n">
        <v>0.04528763769889843</v>
      </c>
      <c r="F52" s="17" t="n">
        <v>0.04119547657512124</v>
      </c>
      <c r="G52" s="17" t="n">
        <v>0.006734006734006703</v>
      </c>
      <c r="H52" s="17" t="n">
        <v>0.0396957149591084</v>
      </c>
    </row>
    <row r="53">
      <c r="A53" s="16" t="n">
        <v>45919</v>
      </c>
      <c r="B53" s="17" t="n">
        <v>0.06833712984054663</v>
      </c>
      <c r="C53" s="17" t="n">
        <v>0.007585335018963413</v>
      </c>
      <c r="D53" s="17" t="n">
        <v>0.007552870090634434</v>
      </c>
      <c r="E53" s="17" t="n">
        <v>0.04215456674473073</v>
      </c>
      <c r="F53" s="17" t="n">
        <v>0.1031807602792862</v>
      </c>
      <c r="G53" s="17" t="n">
        <v>-0.008361204013377921</v>
      </c>
      <c r="H53" s="17" t="n">
        <v>-0.002479351113475636</v>
      </c>
    </row>
    <row r="54">
      <c r="A54" s="16" t="n">
        <v>45926</v>
      </c>
      <c r="B54" s="17" t="n">
        <v>-0.0341151385927505</v>
      </c>
      <c r="C54" s="17" t="n">
        <v>-0.02383939774153077</v>
      </c>
      <c r="D54" s="17" t="n">
        <v>0.04197901049475261</v>
      </c>
      <c r="E54" s="17" t="n">
        <v>-0.05955056179775275</v>
      </c>
      <c r="F54" s="17" t="n">
        <v>-0.01969057665260199</v>
      </c>
      <c r="G54" s="17" t="n">
        <v>-0.0202360876897133</v>
      </c>
      <c r="H54" s="17" t="n">
        <v>-0.0286400915663112</v>
      </c>
    </row>
    <row r="55">
      <c r="A55" s="16" t="n">
        <v>45933</v>
      </c>
      <c r="B55" s="17" t="n">
        <v>-0.0640176600441501</v>
      </c>
      <c r="C55" s="17" t="n">
        <v>-0.006426735218509005</v>
      </c>
      <c r="D55" s="17" t="n">
        <v>0.03884892086330938</v>
      </c>
      <c r="E55" s="17" t="n">
        <v>0.001194743130227049</v>
      </c>
      <c r="F55" s="17" t="n">
        <v>-0.04017216642754662</v>
      </c>
      <c r="G55" s="17" t="n">
        <v>-0.04647160068846812</v>
      </c>
      <c r="H55" s="17" t="n">
        <v>0.02690221804576187</v>
      </c>
    </row>
    <row r="56">
      <c r="A56" s="16" t="n">
        <v>45940</v>
      </c>
      <c r="B56" s="17" t="n">
        <v>-0.035377358490566</v>
      </c>
      <c r="C56" s="17" t="n">
        <v>-0.02328589909443723</v>
      </c>
      <c r="D56" s="17" t="n">
        <v>-0.06094182825484762</v>
      </c>
      <c r="E56" s="17" t="n">
        <v>-0.02267303102625295</v>
      </c>
      <c r="F56" s="17" t="n">
        <v>-0.05829596412556048</v>
      </c>
      <c r="G56" s="17" t="n">
        <v>-0.02527075812274371</v>
      </c>
      <c r="H56" s="17" t="n">
        <v>-0.004229173523455976</v>
      </c>
    </row>
    <row r="57">
      <c r="A57" s="16" t="n">
        <v>45947</v>
      </c>
      <c r="B57" s="17" t="n">
        <v>-0.02493887530562344</v>
      </c>
      <c r="C57" s="17" t="n">
        <v>-0.01589403973509929</v>
      </c>
      <c r="D57" s="17" t="n">
        <v>-0.06194690265486724</v>
      </c>
      <c r="E57" s="17" t="n">
        <v>-0.05128205128205132</v>
      </c>
      <c r="F57" s="17" t="n">
        <v>-0.0714285714285714</v>
      </c>
      <c r="G57" s="17" t="n">
        <v>-0.03518518518518521</v>
      </c>
      <c r="H57" s="17" t="n">
        <v>0.03200609705966051</v>
      </c>
    </row>
    <row r="58">
      <c r="A58" s="16" t="n">
        <v>45954</v>
      </c>
      <c r="B58" s="17" t="n">
        <v>0.02306920762286868</v>
      </c>
      <c r="C58" s="17" t="n">
        <v>0.01211305518169592</v>
      </c>
      <c r="D58" s="17" t="n">
        <v>0.0676100628930818</v>
      </c>
      <c r="E58" s="17" t="n">
        <v>0.003861003861003853</v>
      </c>
      <c r="F58" s="17" t="n">
        <v>0.08717948717948709</v>
      </c>
      <c r="G58" s="17" t="n">
        <v>0.02687140115163156</v>
      </c>
      <c r="H58" s="17" t="n">
        <v>0.05626654042368973</v>
      </c>
    </row>
    <row r="59">
      <c r="A59" s="16" t="n">
        <v>45961</v>
      </c>
      <c r="B59" s="17" t="n">
        <v>0.002450980392156854</v>
      </c>
      <c r="C59" s="17" t="n">
        <v>0.02393617021276606</v>
      </c>
      <c r="D59" s="17" t="n">
        <v>-0.0265095729013255</v>
      </c>
      <c r="E59" s="17" t="n">
        <v>-0.03589743589743588</v>
      </c>
      <c r="F59" s="17" t="n">
        <v>-0.04323899371069184</v>
      </c>
      <c r="G59" s="17" t="n">
        <v>0.009345794392523255</v>
      </c>
      <c r="H59" s="17" t="n">
        <v>0.01980396402274343</v>
      </c>
    </row>
    <row r="60">
      <c r="A60" s="16" t="n">
        <v>45968</v>
      </c>
      <c r="B60" s="17" t="n">
        <v>-0.05330073349633246</v>
      </c>
      <c r="C60" s="17" t="n">
        <v>-0.0636363636363636</v>
      </c>
      <c r="D60" s="17" t="n">
        <v>0.1633888048411498</v>
      </c>
      <c r="E60" s="17" t="n">
        <v>-0.0957446808510638</v>
      </c>
      <c r="F60" s="17" t="n">
        <v>0.2925225965488907</v>
      </c>
      <c r="G60" s="17" t="n">
        <v>-0.0444444444444444</v>
      </c>
      <c r="H60" s="17" t="n">
        <v>-0.03419001618685791</v>
      </c>
    </row>
    <row r="61">
      <c r="A61" s="16" t="n">
        <v>45975</v>
      </c>
      <c r="B61" s="17" t="n">
        <v>-0.1931818181818182</v>
      </c>
      <c r="C61" s="17" t="n">
        <v>-0.1095700416088765</v>
      </c>
      <c r="D61" s="17" t="n">
        <v>-0.08062418725617682</v>
      </c>
      <c r="E61" s="17" t="n">
        <v>-0.02058823529411768</v>
      </c>
      <c r="F61" s="17" t="n">
        <v>-0.1417673235855054</v>
      </c>
      <c r="G61" s="17" t="n">
        <v>0.02713178294573648</v>
      </c>
      <c r="H61" s="17" t="n">
        <v>0.03049121828339874</v>
      </c>
    </row>
    <row r="62">
      <c r="A62" s="16" t="n">
        <v>45982</v>
      </c>
      <c r="B62" s="17" t="n">
        <v>0.1145966709346991</v>
      </c>
      <c r="C62" s="17" t="n">
        <v>0.04672897196261672</v>
      </c>
      <c r="D62" s="17" t="n">
        <v>0.02263083451202252</v>
      </c>
      <c r="E62" s="17" t="n">
        <v>-0.03903903903903905</v>
      </c>
      <c r="F62" s="17" t="n">
        <v>-0.04074074074074074</v>
      </c>
      <c r="G62" s="17" t="n">
        <v>0.003773584905660377</v>
      </c>
      <c r="H62" s="17" t="n">
        <v>-0.037978279928503</v>
      </c>
    </row>
    <row r="63">
      <c r="A63" s="16" t="n">
        <v>45989</v>
      </c>
      <c r="B63" s="17" t="n">
        <v>-0.0465249856404365</v>
      </c>
      <c r="C63" s="17" t="n">
        <v>-0.007440476190476164</v>
      </c>
      <c r="D63" s="17" t="n">
        <v>0.04426002766251735</v>
      </c>
      <c r="E63" s="17" t="n">
        <v>0.03281249999999991</v>
      </c>
      <c r="F63" s="17" t="n">
        <v>0.01853281853281863</v>
      </c>
      <c r="G63" s="17" t="n">
        <v>-0.01691729323308266</v>
      </c>
      <c r="H63" s="17" t="n">
        <v>0.008224280840317899</v>
      </c>
    </row>
    <row r="64">
      <c r="A64" s="16" t="n">
        <v>45996</v>
      </c>
      <c r="B64" s="17" t="n">
        <v>-0.004819277108433773</v>
      </c>
      <c r="C64" s="17" t="n">
        <v>-0.01799100449775115</v>
      </c>
      <c r="D64" s="17" t="n">
        <v>-0.1006622516556291</v>
      </c>
      <c r="E64" s="17" t="n">
        <v>-0.0453857791225416</v>
      </c>
      <c r="F64" s="17" t="n">
        <v>-0.06520090978013648</v>
      </c>
      <c r="G64" s="17" t="n">
        <v>-0.04397705544933084</v>
      </c>
      <c r="H64" s="17" t="n">
        <v>0.03729934659800938</v>
      </c>
    </row>
    <row r="65">
      <c r="A65" s="16" t="n">
        <v>46003</v>
      </c>
      <c r="B65" s="17" t="n">
        <v>-0.009685230024213065</v>
      </c>
      <c r="C65" s="17" t="n">
        <v>-0.01984732824427482</v>
      </c>
      <c r="D65" s="17" t="n">
        <v>-0.00589101620029453</v>
      </c>
      <c r="E65" s="17" t="n">
        <v>-0.009508716323296307</v>
      </c>
      <c r="F65" s="17" t="n">
        <v>-0.03568532035685323</v>
      </c>
      <c r="G65" s="17" t="n">
        <v>-0.003000000000000003</v>
      </c>
      <c r="H65" s="17" t="n">
        <v>0.0134360579613737</v>
      </c>
    </row>
    <row r="66">
      <c r="A66" s="16" t="n">
        <v>46010</v>
      </c>
      <c r="B66" s="17" t="n">
        <v>0.03117359413202925</v>
      </c>
      <c r="C66" s="17" t="n">
        <v>-0.02180685358255452</v>
      </c>
      <c r="D66" s="17" t="n">
        <v>0.0503703703703704</v>
      </c>
      <c r="E66" s="17" t="n">
        <v>-0.009600000000000053</v>
      </c>
      <c r="F66" s="17" t="n">
        <v>0.001682085786375076</v>
      </c>
      <c r="G66" s="17" t="n">
        <v>-0.01504513540621866</v>
      </c>
      <c r="H66" s="17" t="n">
        <v>-0.03834080622362701</v>
      </c>
    </row>
    <row r="67">
      <c r="A67" s="16" t="n">
        <v>46017</v>
      </c>
      <c r="B67" s="17" t="n">
        <v>-0.03793716656787194</v>
      </c>
      <c r="C67" s="17" t="n">
        <v>-0.02707006369426757</v>
      </c>
      <c r="D67" s="17" t="n">
        <v>-0.08321579689703806</v>
      </c>
      <c r="E67" s="17" t="n">
        <v>0.01292407108239102</v>
      </c>
      <c r="F67" s="17" t="n">
        <v>-0.05373635600335858</v>
      </c>
      <c r="G67" s="17" t="n">
        <v>0.002036659877800329</v>
      </c>
      <c r="H67" s="17" t="n">
        <v>-0.006907093006363718</v>
      </c>
    </row>
    <row r="68">
      <c r="A68" s="16" t="n">
        <v>46024</v>
      </c>
      <c r="B68" s="17" t="n">
        <v>0.09673444239063467</v>
      </c>
      <c r="C68" s="17" t="n">
        <v>0.07037643207855981</v>
      </c>
      <c r="D68" s="17" t="n">
        <v>0.07692307692307687</v>
      </c>
      <c r="E68" s="17" t="n">
        <v>0.04944178628389162</v>
      </c>
      <c r="F68" s="17" t="n">
        <v>0.02573203194321216</v>
      </c>
      <c r="G68" s="17" t="n">
        <v>0.05284552845528445</v>
      </c>
      <c r="H68" s="17" t="n">
        <v>0.008538785518981795</v>
      </c>
    </row>
    <row r="69">
      <c r="A69" s="16" t="n">
        <v>46031</v>
      </c>
      <c r="B69" s="17" t="n">
        <v>-0.01910112359550564</v>
      </c>
      <c r="C69" s="17" t="n">
        <v>-0.0321100917431193</v>
      </c>
      <c r="D69" s="17" t="n">
        <v>0</v>
      </c>
      <c r="E69" s="17" t="n">
        <v>-0.02735562310030393</v>
      </c>
      <c r="F69" s="17" t="n">
        <v>-0.009515570934256035</v>
      </c>
      <c r="G69" s="17" t="n">
        <v>-0.04633204633204635</v>
      </c>
      <c r="H69" s="17" t="n">
        <v>0.04961185803135448</v>
      </c>
    </row>
    <row r="70">
      <c r="A70" s="16" t="n">
        <v>46038</v>
      </c>
      <c r="B70" s="17" t="n">
        <v>0.07273768613974796</v>
      </c>
      <c r="C70" s="17" t="n">
        <v>0.009478672985782088</v>
      </c>
      <c r="D70" s="17" t="n">
        <v>-0.04714285714285715</v>
      </c>
      <c r="E70" s="17" t="n">
        <v>-0.05000000000000004</v>
      </c>
      <c r="F70" s="17" t="n">
        <v>-0.07161572052401743</v>
      </c>
      <c r="G70" s="17" t="n">
        <v>-0.0334008097165992</v>
      </c>
      <c r="H70" s="17" t="n">
        <v>0.05817721135050702</v>
      </c>
    </row>
    <row r="71">
      <c r="A71" s="16" t="n">
        <v>46045</v>
      </c>
      <c r="B71" s="17" t="n">
        <v>0.03470368392952472</v>
      </c>
      <c r="C71" s="17" t="n">
        <v>0.04381846635367759</v>
      </c>
      <c r="D71" s="17" t="n">
        <v>0.2158920539730136</v>
      </c>
      <c r="E71" s="17" t="n">
        <v>0.06578947368421062</v>
      </c>
      <c r="F71" s="17" t="n">
        <v>0.110065851364064</v>
      </c>
      <c r="G71" s="17" t="n">
        <v>0.03036649214659692</v>
      </c>
      <c r="H71" s="17" t="n">
        <v>0.03887519029259057</v>
      </c>
    </row>
    <row r="72">
      <c r="A72" s="16" t="n">
        <v>46052</v>
      </c>
      <c r="B72" s="17" t="n">
        <v>0.04489164086687314</v>
      </c>
      <c r="C72" s="17" t="n">
        <v>0.04797601199400292</v>
      </c>
      <c r="D72" s="17" t="n">
        <v>0.18865598027127</v>
      </c>
      <c r="E72" s="17" t="n">
        <v>0.1743827160493827</v>
      </c>
      <c r="F72" s="17" t="n">
        <v>0.02711864406779663</v>
      </c>
      <c r="G72" s="17" t="n">
        <v>0.009146341463414531</v>
      </c>
      <c r="H72" s="17" t="n">
        <v>0.01382775416690896</v>
      </c>
    </row>
    <row r="73">
      <c r="A73" s="16" t="n">
        <v>46059</v>
      </c>
      <c r="B73" s="17" t="n">
        <v>-0.02123456790123457</v>
      </c>
      <c r="C73" s="17" t="n">
        <v>-0.01144492131616592</v>
      </c>
      <c r="D73" s="17" t="n">
        <v>0.001037344398340245</v>
      </c>
      <c r="E73" s="17" t="n">
        <v>-0.1038107752956636</v>
      </c>
      <c r="F73" s="17" t="n">
        <v>-0.008250825082508295</v>
      </c>
      <c r="G73" s="17" t="n">
        <v>0.01711983887210478</v>
      </c>
      <c r="H73" s="17" t="n">
        <v>-0.01743206997352376</v>
      </c>
    </row>
    <row r="74">
      <c r="A74" s="16" t="n">
        <v>46066</v>
      </c>
      <c r="B74" s="17" t="n">
        <v>0.02421796165489409</v>
      </c>
      <c r="C74" s="17" t="n">
        <v>0.04775687409551366</v>
      </c>
      <c r="D74" s="17" t="n">
        <v>0.03523316062176174</v>
      </c>
      <c r="E74" s="17" t="n">
        <v>-0.002932551319648091</v>
      </c>
      <c r="F74" s="17" t="n">
        <v>0.06073211314475868</v>
      </c>
      <c r="G74" s="17" t="n">
        <v>0.03762376237623766</v>
      </c>
      <c r="H74" s="17" t="n">
        <v>0.066006785636465</v>
      </c>
    </row>
    <row r="75">
      <c r="A75" s="16" t="n">
        <v>46073</v>
      </c>
      <c r="B75" s="17" t="n">
        <v>-0.04039408866995076</v>
      </c>
      <c r="C75" s="17" t="n">
        <v>0</v>
      </c>
      <c r="D75" s="17" t="n">
        <v>0.01501501501501501</v>
      </c>
      <c r="E75" s="17" t="n">
        <v>-0.07058823529411762</v>
      </c>
      <c r="F75" s="17" t="n">
        <v>0.02666666666666662</v>
      </c>
      <c r="G75" s="17" t="n">
        <v>-0.001908396946564861</v>
      </c>
      <c r="H75" s="17" t="n">
        <v>0.0512683579431783</v>
      </c>
    </row>
    <row r="76">
      <c r="A76" s="16" t="n">
        <v>46080</v>
      </c>
      <c r="B76" s="17" t="n">
        <v>-0.02464065708418894</v>
      </c>
      <c r="C76" s="17" t="n">
        <v>0.05386740331491713</v>
      </c>
      <c r="D76" s="17" t="n">
        <v>-0.1666666666666666</v>
      </c>
      <c r="E76" s="17" t="n">
        <v>-0.02848101265822789</v>
      </c>
      <c r="F76" s="17" t="n">
        <v>-0.07563025210084029</v>
      </c>
      <c r="G76" s="17" t="n">
        <v>0.01338432122370947</v>
      </c>
      <c r="H76" s="17" t="n">
        <v>0.04032912498661667</v>
      </c>
    </row>
    <row r="77">
      <c r="A77" s="16" t="n">
        <v>46087</v>
      </c>
      <c r="B77" s="17" t="n">
        <v>-0.1110526315789474</v>
      </c>
      <c r="C77" s="17" t="n">
        <v>-0.08256880733944949</v>
      </c>
      <c r="D77" s="17" t="n">
        <v>-0.093491124260355</v>
      </c>
      <c r="E77" s="17" t="n">
        <v>-0.09771986970684043</v>
      </c>
      <c r="F77" s="17" t="n">
        <v>0.03057851239669418</v>
      </c>
      <c r="G77" s="17" t="n">
        <v>-0.01698113207547169</v>
      </c>
      <c r="H77" s="17" t="n">
        <v>-0.0887232417584698</v>
      </c>
    </row>
    <row r="78">
      <c r="A78" s="16" t="n">
        <v>46094</v>
      </c>
      <c r="B78" s="17" t="n">
        <v>0.04914150384843108</v>
      </c>
      <c r="C78" s="17" t="n">
        <v>0.02428571428571424</v>
      </c>
      <c r="D78" s="17" t="n">
        <v>-0.04960835509138384</v>
      </c>
      <c r="E78" s="17" t="n">
        <v>-0.05054151624548742</v>
      </c>
      <c r="F78" s="17" t="n">
        <v>0.01844426623897344</v>
      </c>
      <c r="G78" s="17" t="n">
        <v>-0.07293666026871404</v>
      </c>
      <c r="H78" s="17" t="n">
        <v>-0.01743839665068492</v>
      </c>
    </row>
    <row r="79">
      <c r="A79" s="16" t="n">
        <v>46101</v>
      </c>
      <c r="B79" s="17" t="n">
        <v>0.1066591422121896</v>
      </c>
      <c r="C79" s="17" t="n">
        <v>0.06973500697350077</v>
      </c>
      <c r="D79" s="17" t="n">
        <v>0.05494505494505497</v>
      </c>
      <c r="E79" s="17" t="n">
        <v>0.05893536121673004</v>
      </c>
      <c r="F79" s="17" t="n">
        <v>-0.01181102362204722</v>
      </c>
      <c r="G79" s="17" t="n">
        <v>-0.04554865424430643</v>
      </c>
      <c r="H79" s="17" t="n">
        <v>0.02796809324933047</v>
      </c>
    </row>
    <row r="80">
      <c r="A80" s="16" t="n">
        <v>46108</v>
      </c>
      <c r="B80" s="17" t="n">
        <v>0.04538500764915865</v>
      </c>
      <c r="C80" s="17" t="n">
        <v>0.04563233376792697</v>
      </c>
      <c r="D80" s="17" t="n">
        <v>0.1015625</v>
      </c>
      <c r="E80" s="17" t="n">
        <v>-0.03411131059245964</v>
      </c>
      <c r="F80" s="17" t="n">
        <v>0.01434262948207166</v>
      </c>
      <c r="G80" s="17" t="n">
        <v>-0.004338394793926281</v>
      </c>
      <c r="H80" s="17" t="n">
        <v>-0.03428296351027449</v>
      </c>
    </row>
    <row r="81">
      <c r="A81" s="16" t="n">
        <v>46115</v>
      </c>
      <c r="B81" s="17" t="n">
        <v>-0.07658536585365849</v>
      </c>
      <c r="C81" s="17" t="n">
        <v>-0.05112219451371569</v>
      </c>
      <c r="D81" s="17" t="n">
        <v>-0.09338061465721037</v>
      </c>
      <c r="E81" s="17" t="n">
        <v>-0.04275092936802971</v>
      </c>
      <c r="F81" s="17" t="n">
        <v>-0.04713275726630006</v>
      </c>
      <c r="G81" s="17" t="n">
        <v>-0.05446623093681913</v>
      </c>
      <c r="H81" s="17" t="n">
        <v>-0.02072811387718088</v>
      </c>
    </row>
    <row r="82">
      <c r="A82" s="16" t="n">
        <v>46122</v>
      </c>
      <c r="B82" s="17" t="n">
        <v>-0.0137348124669836</v>
      </c>
      <c r="C82" s="17" t="n">
        <v>0.03679369250985554</v>
      </c>
      <c r="D82" s="17" t="n">
        <v>0.03389830508474567</v>
      </c>
      <c r="E82" s="17" t="n">
        <v>0.03689320388349504</v>
      </c>
      <c r="F82" s="17" t="n">
        <v>-0.06430338004946412</v>
      </c>
      <c r="G82" s="17" t="n">
        <v>0.1105990783410138</v>
      </c>
      <c r="H82" s="17" t="n">
        <v>0.06104125882122791</v>
      </c>
    </row>
    <row r="83">
      <c r="A83" s="16" t="n">
        <v>46129</v>
      </c>
      <c r="B83" s="17" t="n">
        <v>0.1435457953936796</v>
      </c>
      <c r="C83" s="17" t="n">
        <v>0.100126742712294</v>
      </c>
      <c r="D83" s="17" t="n">
        <v>0.07061790668348045</v>
      </c>
      <c r="E83" s="17" t="n">
        <v>0.02621722846441954</v>
      </c>
      <c r="F83" s="17" t="n">
        <v>0.06431718061674019</v>
      </c>
      <c r="G83" s="17" t="n">
        <v>0</v>
      </c>
      <c r="H83" s="17" t="n">
        <v>0.0500716894551434</v>
      </c>
    </row>
    <row r="84">
      <c r="A84" s="16" t="n">
        <v>46136</v>
      </c>
      <c r="B84" s="17" t="n">
        <v>0.06323185011709609</v>
      </c>
      <c r="C84" s="17" t="n">
        <v>0.0552995391705069</v>
      </c>
      <c r="D84" s="17" t="n">
        <v>0.01295641931684344</v>
      </c>
      <c r="E84" s="17" t="n">
        <v>0.08211678832116798</v>
      </c>
      <c r="F84" s="17" t="n">
        <v>0.0289735099337749</v>
      </c>
      <c r="G84" s="17" t="n">
        <v>0.06639004149377592</v>
      </c>
      <c r="H84" s="17" t="n">
        <v>0.04821583865964518</v>
      </c>
    </row>
    <row r="85">
      <c r="A85" s="16" t="n">
        <v>46143</v>
      </c>
      <c r="B85" s="17" t="n">
        <v>-0.07268722466960353</v>
      </c>
      <c r="C85" s="17" t="n">
        <v>-0.03165938864628826</v>
      </c>
      <c r="D85" s="17" t="n">
        <v>-0.05813953488372092</v>
      </c>
      <c r="E85" s="17" t="n">
        <v>0.001686340640809414</v>
      </c>
      <c r="F85" s="17" t="n">
        <v>-0.03459372485921164</v>
      </c>
      <c r="G85" s="17" t="n">
        <v>-0.01750972762645919</v>
      </c>
      <c r="H85" s="17" t="n">
        <v>0.01512546920613445</v>
      </c>
    </row>
    <row r="86">
      <c r="A86" s="16" t="n">
        <v>46150</v>
      </c>
      <c r="B86" s="17" t="n">
        <v>-0.002375296912114022</v>
      </c>
      <c r="C86" s="17" t="n">
        <v>0.05524239007891762</v>
      </c>
      <c r="D86" s="17" t="n">
        <v>-0.05185185185185182</v>
      </c>
      <c r="E86" s="17" t="n">
        <v>-0.08585858585858586</v>
      </c>
      <c r="F86" s="17" t="n">
        <v>-0.003333333333333299</v>
      </c>
      <c r="G86" s="17" t="n">
        <v>-0.0435643564356436</v>
      </c>
      <c r="H86" s="17" t="n">
        <v>0.04931363217403129</v>
      </c>
    </row>
    <row r="87">
      <c r="A87" s="16" t="n">
        <v>46157</v>
      </c>
      <c r="B87" s="17" t="n">
        <v>-0.1157142857142858</v>
      </c>
      <c r="C87" s="17" t="n">
        <v>0.03739316239316248</v>
      </c>
      <c r="D87" s="17" t="n">
        <v>0.1106770833333333</v>
      </c>
      <c r="E87" s="17" t="n">
        <v>-0.147329650092081</v>
      </c>
      <c r="F87" s="17" t="n">
        <v>-0.07692307692307687</v>
      </c>
      <c r="G87" s="17" t="n">
        <v>0.06521739130434789</v>
      </c>
      <c r="H87" s="17" t="n">
        <v>-0.03340955649423671</v>
      </c>
    </row>
    <row r="88">
      <c r="A88" s="16" t="n">
        <v>46164</v>
      </c>
      <c r="B88" s="17" t="n">
        <v>-0.01453957996768984</v>
      </c>
      <c r="C88" s="17" t="n">
        <v>-0.0607621009268795</v>
      </c>
      <c r="D88" s="17" t="n">
        <v>-0.1172332942555686</v>
      </c>
      <c r="E88" s="17" t="n">
        <v>-0.08423326133909292</v>
      </c>
      <c r="F88" s="17" t="n">
        <v>-0.07065217391304346</v>
      </c>
      <c r="G88" s="17" t="n">
        <v>-0.06413994169096215</v>
      </c>
      <c r="H88" s="17" t="n">
        <v>0.02193549452668697</v>
      </c>
    </row>
    <row r="89">
      <c r="A89" s="16" t="n">
        <v>46171</v>
      </c>
      <c r="B89" s="17" t="n">
        <v>-0.05081967213114758</v>
      </c>
      <c r="C89" s="17" t="n">
        <v>-0.0625</v>
      </c>
      <c r="D89" s="17" t="n">
        <v>-0.05179282868525892</v>
      </c>
      <c r="E89" s="17" t="n">
        <v>-0.04245283018867929</v>
      </c>
      <c r="F89" s="17" t="n">
        <v>-0.07797270955165692</v>
      </c>
      <c r="G89" s="17" t="n">
        <v>-0.09241952232606443</v>
      </c>
      <c r="H89" s="17" t="n">
        <v>0.02498003873480048</v>
      </c>
    </row>
    <row r="90">
      <c r="A90" s="16" t="n">
        <v>46178</v>
      </c>
      <c r="B90" s="17" t="n">
        <v>-0.04490500863557856</v>
      </c>
      <c r="C90" s="17" t="n">
        <v>-0.02339181286549707</v>
      </c>
      <c r="D90" s="17" t="n">
        <v>-0.01680672268907568</v>
      </c>
      <c r="E90" s="17" t="n">
        <v>-0.02955665024630538</v>
      </c>
      <c r="F90" s="17" t="n">
        <v>-0.03911205073995772</v>
      </c>
      <c r="G90" s="17" t="n">
        <v>-0.0606407322654462</v>
      </c>
      <c r="H90" s="17" t="n">
        <v>-0.04538516926311364</v>
      </c>
    </row>
    <row r="91">
      <c r="A91" s="16" t="n">
        <v>46185</v>
      </c>
      <c r="B91" s="17" t="n">
        <v>0.01627486437613013</v>
      </c>
      <c r="C91" s="17" t="n">
        <v>0.03473053892215572</v>
      </c>
      <c r="D91" s="17" t="n">
        <v>-0.01994301994301995</v>
      </c>
      <c r="E91" s="17" t="n">
        <v>-0.04416243654822338</v>
      </c>
      <c r="F91" s="17" t="n">
        <v>0.01210121012101206</v>
      </c>
      <c r="G91" s="17" t="n">
        <v>0.00974421437271622</v>
      </c>
      <c r="H91" s="17" t="n">
        <v>-0.01473589513653772</v>
      </c>
    </row>
    <row r="92">
      <c r="A92" s="16" t="n">
        <v>46192</v>
      </c>
      <c r="B92" s="17" t="n">
        <v>-0.05575326215895615</v>
      </c>
      <c r="C92" s="17" t="n">
        <v>0.00115740740740744</v>
      </c>
      <c r="D92" s="17" t="n">
        <v>-0.05959302325581395</v>
      </c>
      <c r="E92" s="17" t="n">
        <v>0.07806691449814118</v>
      </c>
      <c r="F92" s="17" t="n">
        <v>-0.03913043478260869</v>
      </c>
      <c r="G92" s="17" t="n">
        <v>-0.03980699638118212</v>
      </c>
      <c r="H92" s="17" t="n">
        <v>0.04120632630896148</v>
      </c>
    </row>
    <row r="93">
      <c r="A93" s="16" t="n">
        <v>46199</v>
      </c>
      <c r="B93" s="17" t="n">
        <v>-0.08982412060301503</v>
      </c>
      <c r="C93" s="17" t="n">
        <v>0.04855491329479777</v>
      </c>
      <c r="D93" s="17" t="n">
        <v>0.02163833075734156</v>
      </c>
      <c r="E93" s="17" t="n">
        <v>0.0147783251231528</v>
      </c>
      <c r="F93" s="17" t="n">
        <v>-0.1029411764705882</v>
      </c>
      <c r="G93" s="17" t="n">
        <v>-0.08417085427135673</v>
      </c>
      <c r="H93" s="17" t="n">
        <v>-0.1173055851986818</v>
      </c>
    </row>
    <row r="94">
      <c r="A94" s="16" t="n">
        <v>46206</v>
      </c>
      <c r="B94" s="17" t="n">
        <v>0.1614906832298137</v>
      </c>
      <c r="C94" s="17" t="n">
        <v>0.2987872105843441</v>
      </c>
      <c r="D94" s="17" t="n">
        <v>0.2435703479576399</v>
      </c>
      <c r="E94" s="17" t="n">
        <v>-0.03009708737864081</v>
      </c>
      <c r="F94" s="17" t="n">
        <v>0.1172761664564943</v>
      </c>
      <c r="G94" s="17" t="n">
        <v>0.168724279835391</v>
      </c>
      <c r="H94" s="17" t="n">
        <v>0.03485476822769051</v>
      </c>
    </row>
    <row r="95">
      <c r="A95" s="16" t="n">
        <v>46213</v>
      </c>
      <c r="B95" s="17" t="n">
        <v>0.02614379084967311</v>
      </c>
      <c r="C95" s="17" t="n">
        <v>-0.09592529711375208</v>
      </c>
      <c r="D95" s="17" t="n">
        <v>0.009732360097323589</v>
      </c>
      <c r="E95" s="17" t="n">
        <v>0.0110110110110111</v>
      </c>
      <c r="F95" s="17" t="n">
        <v>-0.006772009029345383</v>
      </c>
      <c r="G95" s="17" t="n">
        <v>-0.05751173708920188</v>
      </c>
      <c r="H95" s="17" t="n">
        <v>-0.05913131026657503</v>
      </c>
    </row>
    <row r="96">
      <c r="A96" s="16" t="n">
        <v>46220</v>
      </c>
      <c r="B96" s="17" t="n">
        <v>0.0486392588303417</v>
      </c>
      <c r="C96" s="17" t="n">
        <v>0.01032863849765264</v>
      </c>
      <c r="D96" s="17" t="n">
        <v>0.02168674698795181</v>
      </c>
      <c r="E96" s="17" t="n">
        <v>-0.05940594059405946</v>
      </c>
      <c r="F96" s="17" t="n">
        <v>-0.08636363636363631</v>
      </c>
      <c r="G96" s="17" t="n">
        <v>-0.01867995018679947</v>
      </c>
      <c r="H96" s="17" t="n">
        <v>-0.03720181961343794</v>
      </c>
    </row>
    <row r="97">
      <c r="A97" s="16" t="n">
        <v>46227</v>
      </c>
      <c r="B97" s="17" t="n">
        <v>-0.01490889011595808</v>
      </c>
      <c r="C97" s="17" t="n">
        <v>-0.06877323420074355</v>
      </c>
      <c r="D97" s="17" t="n">
        <v>-0.04834905660377353</v>
      </c>
      <c r="E97" s="17" t="n">
        <v>-0.04578947368421049</v>
      </c>
      <c r="F97" s="17" t="n">
        <v>0.03855721393034828</v>
      </c>
      <c r="G97" s="17" t="n">
        <v>-0.01649746192893398</v>
      </c>
      <c r="H97" s="17" t="n">
        <v>-0.007343320968266953</v>
      </c>
    </row>
    <row r="98">
      <c r="A98" s="16" t="n">
        <v>46234</v>
      </c>
      <c r="B98" s="17" t="n">
        <v>0.03531390134529144</v>
      </c>
      <c r="C98" s="17" t="n">
        <v>-0.04990019960079839</v>
      </c>
      <c r="D98" s="17" t="n">
        <v>-0.02354399008674102</v>
      </c>
      <c r="E98" s="17" t="n">
        <v>-0.01268615554329844</v>
      </c>
      <c r="F98" s="17" t="n">
        <v>-0.02514970059880239</v>
      </c>
      <c r="G98" s="17" t="n">
        <v>0.01419354838709674</v>
      </c>
      <c r="H98" s="17" t="n">
        <v>-0.05217348153457269</v>
      </c>
    </row>
    <row r="99">
      <c r="A99" s="16" t="n">
        <v>46241</v>
      </c>
      <c r="B99" s="17" t="n">
        <v>0.112615051434759</v>
      </c>
      <c r="C99" s="17" t="n">
        <v>0.1207983193277311</v>
      </c>
      <c r="D99" s="17" t="n">
        <v>0.217005076142132</v>
      </c>
      <c r="E99" s="17" t="n">
        <v>0.1564245810055866</v>
      </c>
      <c r="F99" s="17" t="n">
        <v>0.1228501228501229</v>
      </c>
      <c r="G99" s="17" t="n">
        <v>0.09287531806615767</v>
      </c>
      <c r="H99" s="17" t="n">
        <v>0.05573761745310613</v>
      </c>
    </row>
    <row r="100">
      <c r="A100" s="16" t="n">
        <v>46248</v>
      </c>
      <c r="B100" s="17" t="n">
        <v>0.2043795620437956</v>
      </c>
      <c r="C100" s="17" t="n">
        <v>0.2811621368322399</v>
      </c>
      <c r="D100" s="17" t="n">
        <v>0.3263816475495307</v>
      </c>
      <c r="E100" s="17" t="n">
        <v>0.03381642512077287</v>
      </c>
      <c r="F100" s="17" t="n">
        <v>0.006564551422319376</v>
      </c>
      <c r="G100" s="17" t="n">
        <v>0.3410942956926659</v>
      </c>
      <c r="H100" s="17" t="n">
        <v>0.05904522412552793</v>
      </c>
    </row>
    <row r="101">
      <c r="A101" s="16" t="n">
        <v>46255</v>
      </c>
      <c r="B101" s="17" t="n">
        <v>0.09494949494949489</v>
      </c>
      <c r="C101" s="17" t="n">
        <v>0</v>
      </c>
      <c r="D101" s="17" t="n">
        <v>0.07940251572327051</v>
      </c>
      <c r="E101" s="17" t="n">
        <v>0</v>
      </c>
      <c r="F101" s="17" t="n">
        <v>-0.1304347826086957</v>
      </c>
      <c r="G101" s="17" t="n">
        <v>-0.0625</v>
      </c>
      <c r="H101" s="17" t="n">
        <v>-0.05940638953415733</v>
      </c>
    </row>
    <row r="102">
      <c r="A102" s="16" t="n">
        <v>46262</v>
      </c>
      <c r="B102" s="17" t="n">
        <v>0.1180811808118081</v>
      </c>
      <c r="C102" s="17" t="n">
        <v>0.182882223847842</v>
      </c>
      <c r="D102" s="17" t="n">
        <v>0.1209031318281135</v>
      </c>
      <c r="E102" s="17" t="n">
        <v>0.1028037383177569</v>
      </c>
      <c r="F102" s="17" t="n">
        <v>0.1312500000000001</v>
      </c>
      <c r="G102" s="17" t="n">
        <v>0.337037037037037</v>
      </c>
      <c r="H102" s="17" t="n">
        <v>0.04299325333687354</v>
      </c>
    </row>
    <row r="103">
      <c r="A103" s="16" t="n">
        <v>46269</v>
      </c>
      <c r="B103" s="17" t="n">
        <v>-0.0907590759075908</v>
      </c>
      <c r="C103" s="17" t="n">
        <v>-0.09833024118738409</v>
      </c>
      <c r="D103" s="17" t="n">
        <v>-0.1260558804418453</v>
      </c>
      <c r="E103" s="17" t="n">
        <v>-0.07627118644067798</v>
      </c>
      <c r="F103" s="17" t="n">
        <v>-0.04751381215469608</v>
      </c>
      <c r="G103" s="17" t="n">
        <v>-0.1170360110803325</v>
      </c>
      <c r="H103" s="17" t="n">
        <v>-0.02723540997275542</v>
      </c>
    </row>
    <row r="104">
      <c r="A104" s="16" t="n">
        <v>46276</v>
      </c>
      <c r="B104" s="17" t="n">
        <v>-0.01814882032667875</v>
      </c>
      <c r="C104" s="17" t="n">
        <v>-0.03086419753086422</v>
      </c>
      <c r="D104" s="17" t="n">
        <v>-0.06542750929368035</v>
      </c>
      <c r="E104" s="17" t="n">
        <v>-0.02064220183486243</v>
      </c>
      <c r="F104" s="17" t="n">
        <v>-0.03944315545243615</v>
      </c>
      <c r="G104" s="17" t="n">
        <v>0.2321568627450981</v>
      </c>
      <c r="H104" s="17" t="n">
        <v>0.01441846802373026</v>
      </c>
    </row>
    <row r="105">
      <c r="A105" s="16" t="n">
        <v>46283</v>
      </c>
      <c r="B105" s="17" t="n">
        <v>0.01293900184842878</v>
      </c>
      <c r="C105" s="17" t="n">
        <v>0.02972399150743099</v>
      </c>
      <c r="D105" s="17" t="n">
        <v>0.05091487669053296</v>
      </c>
      <c r="E105" s="17" t="n">
        <v>0.03044496487119441</v>
      </c>
      <c r="F105" s="17" t="n">
        <v>-0.007246376811594235</v>
      </c>
      <c r="G105" s="17" t="n">
        <v>-0.00700190961171232</v>
      </c>
      <c r="H105" s="17" t="n">
        <v>-0.01695132964555468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6" customWidth="1" min="4" max="4"/>
    <col width="16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4" customWidth="1" min="13" max="13"/>
    <col width="16" customWidth="1" min="14" max="14"/>
    <col width="24" customWidth="1" min="15" max="15"/>
    <col width="22" customWidth="1" min="16" max="16"/>
  </cols>
  <sheetData>
    <row r="1">
      <c r="A1" s="7" t="inlineStr">
        <is>
          <t>code</t>
        </is>
      </c>
      <c r="B1" s="7" t="inlineStr">
        <is>
          <t>name</t>
        </is>
      </c>
      <c r="C1" s="7" t="inlineStr">
        <is>
          <t>listed</t>
        </is>
      </c>
      <c r="D1" s="7" t="inlineStr">
        <is>
          <t>index_choice</t>
        </is>
      </c>
      <c r="E1" s="7" t="inlineStr">
        <is>
          <t>setting</t>
        </is>
      </c>
      <c r="F1" s="7" t="inlineStr">
        <is>
          <t>freq</t>
        </is>
      </c>
      <c r="G1" s="7" t="inlineStr">
        <is>
          <t>target_n</t>
        </is>
      </c>
      <c r="H1" s="7" t="inlineStr">
        <is>
          <t>n</t>
        </is>
      </c>
      <c r="I1" s="7" t="inlineStr">
        <is>
          <t>raw_beta</t>
        </is>
      </c>
      <c r="J1" s="7" t="inlineStr">
        <is>
          <t>se</t>
        </is>
      </c>
      <c r="K1" s="7" t="inlineStr">
        <is>
          <t>t</t>
        </is>
      </c>
      <c r="L1" s="7" t="inlineStr">
        <is>
          <t>r2</t>
        </is>
      </c>
      <c r="M1" s="7" t="inlineStr">
        <is>
          <t>ci_low</t>
        </is>
      </c>
      <c r="N1" s="7" t="inlineStr">
        <is>
          <t>ci_high</t>
        </is>
      </c>
      <c r="O1" s="7" t="inlineStr">
        <is>
          <t>dimson_beta</t>
        </is>
      </c>
      <c r="P1" s="7" t="inlineStr">
        <is>
          <t>enough_obs</t>
        </is>
      </c>
    </row>
    <row r="2">
      <c r="A2" t="inlineStr">
        <is>
          <t>192820</t>
        </is>
      </c>
      <c r="B2" t="inlineStr">
        <is>
          <t>코스맥스</t>
        </is>
      </c>
      <c r="C2" t="inlineStr">
        <is>
          <t>KOSPI</t>
        </is>
      </c>
      <c r="D2" t="inlineStr">
        <is>
          <t>KOSPI (기본)</t>
        </is>
      </c>
      <c r="E2" t="inlineStr">
        <is>
          <t>daily_1y</t>
        </is>
      </c>
      <c r="F2" t="inlineStr">
        <is>
          <t>D</t>
        </is>
      </c>
      <c r="G2" t="n">
        <v>250</v>
      </c>
      <c r="H2" t="n">
        <v>250</v>
      </c>
      <c r="I2" s="8" t="n">
        <v>0.1770733529093443</v>
      </c>
      <c r="J2" s="8" t="n">
        <v>0.06427357064829105</v>
      </c>
      <c r="K2" s="8" t="n">
        <v>2.754994799935742</v>
      </c>
      <c r="L2" s="9" t="n">
        <v>0.02969598363055059</v>
      </c>
      <c r="M2" s="8" t="n">
        <v>0.05048169298885349</v>
      </c>
      <c r="N2" s="8" t="n">
        <v>0.3036650128298352</v>
      </c>
      <c r="O2" s="8" t="n">
        <v>0.02654094474166771</v>
      </c>
      <c r="P2" t="b">
        <v>1</v>
      </c>
    </row>
    <row r="3">
      <c r="A3" t="inlineStr">
        <is>
          <t>192820</t>
        </is>
      </c>
      <c r="B3" t="inlineStr">
        <is>
          <t>코스맥스</t>
        </is>
      </c>
      <c r="C3" t="inlineStr">
        <is>
          <t>KOSPI</t>
        </is>
      </c>
      <c r="D3" t="inlineStr">
        <is>
          <t>KOSPI (기본)</t>
        </is>
      </c>
      <c r="E3" t="inlineStr">
        <is>
          <t>weekly_2y</t>
        </is>
      </c>
      <c r="F3" t="inlineStr">
        <is>
          <t>W</t>
        </is>
      </c>
      <c r="G3" t="n">
        <v>104</v>
      </c>
      <c r="H3" t="n">
        <v>104</v>
      </c>
      <c r="I3" s="8" t="n">
        <v>0.2051852968969958</v>
      </c>
      <c r="J3" s="8" t="n">
        <v>0.1765289137814304</v>
      </c>
      <c r="K3" s="8" t="n">
        <v>1.162332518235774</v>
      </c>
      <c r="L3" s="9" t="n">
        <v>0.01307211988517198</v>
      </c>
      <c r="M3" s="8" t="n">
        <v>-0.1449589665877268</v>
      </c>
      <c r="N3" s="8" t="n">
        <v>0.5553295603817184</v>
      </c>
      <c r="O3" s="8" t="n">
        <v>-0.08759146142572373</v>
      </c>
      <c r="P3" t="b">
        <v>1</v>
      </c>
    </row>
    <row r="4">
      <c r="A4" t="inlineStr">
        <is>
          <t>192820</t>
        </is>
      </c>
      <c r="B4" t="inlineStr">
        <is>
          <t>코스맥스</t>
        </is>
      </c>
      <c r="C4" t="inlineStr">
        <is>
          <t>KOSPI</t>
        </is>
      </c>
      <c r="D4" t="inlineStr">
        <is>
          <t>KOSPI (기본)</t>
        </is>
      </c>
      <c r="E4" t="inlineStr">
        <is>
          <t>weekly_3y</t>
        </is>
      </c>
      <c r="F4" t="inlineStr">
        <is>
          <t>W</t>
        </is>
      </c>
      <c r="G4" t="n">
        <v>156</v>
      </c>
      <c r="H4" t="n">
        <v>156</v>
      </c>
      <c r="I4" s="8" t="n">
        <v>0.1981417126146664</v>
      </c>
      <c r="J4" s="8" t="n">
        <v>0.1554113391097355</v>
      </c>
      <c r="K4" s="8" t="n">
        <v>1.274950166118568</v>
      </c>
      <c r="L4" s="9" t="n">
        <v>0.0104449331744968</v>
      </c>
      <c r="M4" s="8" t="n">
        <v>-0.1088715319108235</v>
      </c>
      <c r="N4" s="8" t="n">
        <v>0.5051549571401563</v>
      </c>
      <c r="O4" s="8" t="n">
        <v>-0.04784680590429656</v>
      </c>
      <c r="P4" t="b">
        <v>1</v>
      </c>
    </row>
    <row r="5">
      <c r="A5" t="inlineStr">
        <is>
          <t>192820</t>
        </is>
      </c>
      <c r="B5" t="inlineStr">
        <is>
          <t>코스맥스</t>
        </is>
      </c>
      <c r="C5" t="inlineStr">
        <is>
          <t>KOSPI</t>
        </is>
      </c>
      <c r="D5" t="inlineStr">
        <is>
          <t>KOSPI (기본)</t>
        </is>
      </c>
      <c r="E5" t="inlineStr">
        <is>
          <t>monthly_5y</t>
        </is>
      </c>
      <c r="F5" t="inlineStr">
        <is>
          <t>M</t>
        </is>
      </c>
      <c r="G5" t="n">
        <v>60</v>
      </c>
      <c r="H5" t="n">
        <v>60</v>
      </c>
      <c r="I5" s="8" t="n">
        <v>0.1921581666020117</v>
      </c>
      <c r="J5" s="8" t="n">
        <v>0.2431538363568743</v>
      </c>
      <c r="K5" s="8" t="n">
        <v>0.7902740482366197</v>
      </c>
      <c r="L5" s="9" t="n">
        <v>0.0106531009902725</v>
      </c>
      <c r="M5" s="8" t="n">
        <v>-0.2945671189705332</v>
      </c>
      <c r="N5" s="8" t="n">
        <v>0.6788834521745565</v>
      </c>
      <c r="O5" s="8" t="n">
        <v>-0.2153256994404215</v>
      </c>
      <c r="P5" t="b">
        <v>1</v>
      </c>
    </row>
    <row r="6">
      <c r="A6" t="inlineStr">
        <is>
          <t>192820</t>
        </is>
      </c>
      <c r="B6" t="inlineStr">
        <is>
          <t>코스맥스</t>
        </is>
      </c>
      <c r="C6" t="inlineStr">
        <is>
          <t>KOSPI</t>
        </is>
      </c>
      <c r="D6" t="inlineStr">
        <is>
          <t>상장시장 지수 (KOSPI/KOSDAQ)</t>
        </is>
      </c>
      <c r="E6" t="inlineStr">
        <is>
          <t>daily_1y</t>
        </is>
      </c>
      <c r="F6" t="inlineStr">
        <is>
          <t>D</t>
        </is>
      </c>
      <c r="G6" t="n">
        <v>250</v>
      </c>
      <c r="H6" t="n">
        <v>250</v>
      </c>
      <c r="I6" s="8" t="n">
        <v>0.1770733529093443</v>
      </c>
      <c r="J6" s="8" t="n">
        <v>0.06427357064829105</v>
      </c>
      <c r="K6" s="8" t="n">
        <v>2.754994799935742</v>
      </c>
      <c r="L6" s="9" t="n">
        <v>0.02969598363055059</v>
      </c>
      <c r="M6" s="8" t="n">
        <v>0.05048169298885349</v>
      </c>
      <c r="N6" s="8" t="n">
        <v>0.3036650128298352</v>
      </c>
      <c r="O6" s="8" t="n">
        <v>0.02654094474166771</v>
      </c>
      <c r="P6" t="b">
        <v>1</v>
      </c>
    </row>
    <row r="7">
      <c r="A7" t="inlineStr">
        <is>
          <t>192820</t>
        </is>
      </c>
      <c r="B7" t="inlineStr">
        <is>
          <t>코스맥스</t>
        </is>
      </c>
      <c r="C7" t="inlineStr">
        <is>
          <t>KOSPI</t>
        </is>
      </c>
      <c r="D7" t="inlineStr">
        <is>
          <t>상장시장 지수 (KOSPI/KOSDAQ)</t>
        </is>
      </c>
      <c r="E7" t="inlineStr">
        <is>
          <t>weekly_2y</t>
        </is>
      </c>
      <c r="F7" t="inlineStr">
        <is>
          <t>W</t>
        </is>
      </c>
      <c r="G7" t="n">
        <v>104</v>
      </c>
      <c r="H7" t="n">
        <v>104</v>
      </c>
      <c r="I7" s="8" t="n">
        <v>0.2051852968969958</v>
      </c>
      <c r="J7" s="8" t="n">
        <v>0.1765289137814304</v>
      </c>
      <c r="K7" s="8" t="n">
        <v>1.162332518235774</v>
      </c>
      <c r="L7" s="9" t="n">
        <v>0.01307211988517198</v>
      </c>
      <c r="M7" s="8" t="n">
        <v>-0.1449589665877268</v>
      </c>
      <c r="N7" s="8" t="n">
        <v>0.5553295603817184</v>
      </c>
      <c r="O7" s="8" t="n">
        <v>-0.08759146142572373</v>
      </c>
      <c r="P7" t="b">
        <v>1</v>
      </c>
    </row>
    <row r="8">
      <c r="A8" t="inlineStr">
        <is>
          <t>192820</t>
        </is>
      </c>
      <c r="B8" t="inlineStr">
        <is>
          <t>코스맥스</t>
        </is>
      </c>
      <c r="C8" t="inlineStr">
        <is>
          <t>KOSPI</t>
        </is>
      </c>
      <c r="D8" t="inlineStr">
        <is>
          <t>상장시장 지수 (KOSPI/KOSDAQ)</t>
        </is>
      </c>
      <c r="E8" t="inlineStr">
        <is>
          <t>weekly_3y</t>
        </is>
      </c>
      <c r="F8" t="inlineStr">
        <is>
          <t>W</t>
        </is>
      </c>
      <c r="G8" t="n">
        <v>156</v>
      </c>
      <c r="H8" t="n">
        <v>156</v>
      </c>
      <c r="I8" s="8" t="n">
        <v>0.1981417126146664</v>
      </c>
      <c r="J8" s="8" t="n">
        <v>0.1554113391097355</v>
      </c>
      <c r="K8" s="8" t="n">
        <v>1.274950166118568</v>
      </c>
      <c r="L8" s="9" t="n">
        <v>0.0104449331744968</v>
      </c>
      <c r="M8" s="8" t="n">
        <v>-0.1088715319108235</v>
      </c>
      <c r="N8" s="8" t="n">
        <v>0.5051549571401563</v>
      </c>
      <c r="O8" s="8" t="n">
        <v>-0.04784680590429656</v>
      </c>
      <c r="P8" t="b">
        <v>1</v>
      </c>
    </row>
    <row r="9">
      <c r="A9" t="inlineStr">
        <is>
          <t>192820</t>
        </is>
      </c>
      <c r="B9" t="inlineStr">
        <is>
          <t>코스맥스</t>
        </is>
      </c>
      <c r="C9" t="inlineStr">
        <is>
          <t>KOSPI</t>
        </is>
      </c>
      <c r="D9" t="inlineStr">
        <is>
          <t>상장시장 지수 (KOSPI/KOSDAQ)</t>
        </is>
      </c>
      <c r="E9" t="inlineStr">
        <is>
          <t>monthly_5y</t>
        </is>
      </c>
      <c r="F9" t="inlineStr">
        <is>
          <t>M</t>
        </is>
      </c>
      <c r="G9" t="n">
        <v>60</v>
      </c>
      <c r="H9" t="n">
        <v>60</v>
      </c>
      <c r="I9" s="8" t="n">
        <v>0.1921581666020117</v>
      </c>
      <c r="J9" s="8" t="n">
        <v>0.2431538363568743</v>
      </c>
      <c r="K9" s="8" t="n">
        <v>0.7902740482366197</v>
      </c>
      <c r="L9" s="9" t="n">
        <v>0.0106531009902725</v>
      </c>
      <c r="M9" s="8" t="n">
        <v>-0.2945671189705332</v>
      </c>
      <c r="N9" s="8" t="n">
        <v>0.6788834521745565</v>
      </c>
      <c r="O9" s="8" t="n">
        <v>-0.2153256994404215</v>
      </c>
      <c r="P9" t="b">
        <v>1</v>
      </c>
    </row>
    <row r="10">
      <c r="A10" t="inlineStr">
        <is>
          <t>192820</t>
        </is>
      </c>
      <c r="B10" t="inlineStr">
        <is>
          <t>코스맥스</t>
        </is>
      </c>
      <c r="C10" t="inlineStr">
        <is>
          <t>KOSPI</t>
        </is>
      </c>
      <c r="D10" t="inlineStr">
        <is>
          <t>KOSPI 반도체 제외</t>
        </is>
      </c>
      <c r="E10" t="inlineStr">
        <is>
          <t>daily_1y</t>
        </is>
      </c>
      <c r="F10" t="inlineStr">
        <is>
          <t>D</t>
        </is>
      </c>
      <c r="G10" t="n">
        <v>250</v>
      </c>
      <c r="H10" t="n">
        <v>250</v>
      </c>
      <c r="I10" s="8" t="n">
        <v>0.4313724953357215</v>
      </c>
      <c r="J10" s="8" t="n">
        <v>0.08661354655067931</v>
      </c>
      <c r="K10" s="8" t="n">
        <v>4.98042757183851</v>
      </c>
      <c r="L10" s="9" t="n">
        <v>0.0909246158316751</v>
      </c>
      <c r="M10" s="8" t="n">
        <v>0.2607805627752931</v>
      </c>
      <c r="N10" s="8" t="n">
        <v>0.60196442789615</v>
      </c>
      <c r="O10" s="8" t="n">
        <v>0.1707481637291496</v>
      </c>
      <c r="P10" t="b">
        <v>1</v>
      </c>
    </row>
    <row r="11">
      <c r="A11" t="inlineStr">
        <is>
          <t>192820</t>
        </is>
      </c>
      <c r="B11" t="inlineStr">
        <is>
          <t>코스맥스</t>
        </is>
      </c>
      <c r="C11" t="inlineStr">
        <is>
          <t>KOSPI</t>
        </is>
      </c>
      <c r="D11" t="inlineStr">
        <is>
          <t>KOSPI 반도체 제외</t>
        </is>
      </c>
      <c r="E11" t="inlineStr">
        <is>
          <t>weekly_2y</t>
        </is>
      </c>
      <c r="F11" t="inlineStr">
        <is>
          <t>W</t>
        </is>
      </c>
      <c r="G11" t="n">
        <v>104</v>
      </c>
      <c r="H11" t="n">
        <v>104</v>
      </c>
      <c r="I11" s="8" t="n">
        <v>0.5754666347699304</v>
      </c>
      <c r="J11" s="8" t="n">
        <v>0.2107323655927758</v>
      </c>
      <c r="K11" s="8" t="n">
        <v>2.730793787424072</v>
      </c>
      <c r="L11" s="9" t="n">
        <v>0.06812920798912891</v>
      </c>
      <c r="M11" s="8" t="n">
        <v>0.1574799867909203</v>
      </c>
      <c r="N11" s="8" t="n">
        <v>0.9934532827489405</v>
      </c>
      <c r="O11" s="8" t="n">
        <v>0.4790180014345624</v>
      </c>
      <c r="P11" t="b">
        <v>1</v>
      </c>
    </row>
    <row r="12">
      <c r="A12" t="inlineStr">
        <is>
          <t>192820</t>
        </is>
      </c>
      <c r="B12" t="inlineStr">
        <is>
          <t>코스맥스</t>
        </is>
      </c>
      <c r="C12" t="inlineStr">
        <is>
          <t>KOSPI</t>
        </is>
      </c>
      <c r="D12" t="inlineStr">
        <is>
          <t>KOSPI 반도체 제외</t>
        </is>
      </c>
      <c r="E12" t="inlineStr">
        <is>
          <t>weekly_3y</t>
        </is>
      </c>
      <c r="F12" t="inlineStr">
        <is>
          <t>W</t>
        </is>
      </c>
      <c r="G12" t="n">
        <v>156</v>
      </c>
      <c r="H12" t="n">
        <v>156</v>
      </c>
      <c r="I12" s="8" t="n">
        <v>0.4387853095869133</v>
      </c>
      <c r="J12" s="8" t="n">
        <v>0.1831221164957957</v>
      </c>
      <c r="K12" s="8" t="n">
        <v>2.39613498349331</v>
      </c>
      <c r="L12" s="9" t="n">
        <v>0.03594222036256189</v>
      </c>
      <c r="M12" s="8" t="n">
        <v>0.0770297552508713</v>
      </c>
      <c r="N12" s="8" t="n">
        <v>0.8005408639229553</v>
      </c>
      <c r="O12" s="8" t="n">
        <v>0.2566306285027894</v>
      </c>
      <c r="P12" t="b">
        <v>1</v>
      </c>
    </row>
    <row r="13">
      <c r="A13" t="inlineStr">
        <is>
          <t>192820</t>
        </is>
      </c>
      <c r="B13" t="inlineStr">
        <is>
          <t>코스맥스</t>
        </is>
      </c>
      <c r="C13" t="inlineStr">
        <is>
          <t>KOSPI</t>
        </is>
      </c>
      <c r="D13" t="inlineStr">
        <is>
          <t>KOSPI 반도체 제외</t>
        </is>
      </c>
      <c r="E13" t="inlineStr">
        <is>
          <t>monthly_5y</t>
        </is>
      </c>
      <c r="F13" t="inlineStr">
        <is>
          <t>M</t>
        </is>
      </c>
      <c r="G13" t="n">
        <v>60</v>
      </c>
      <c r="H13" t="n">
        <v>60</v>
      </c>
      <c r="I13" s="8" t="n">
        <v>0.6248647014637109</v>
      </c>
      <c r="J13" s="8" t="n">
        <v>0.2950277159386231</v>
      </c>
      <c r="K13" s="8" t="n">
        <v>2.11798643892056</v>
      </c>
      <c r="L13" s="9" t="n">
        <v>0.07179009914938983</v>
      </c>
      <c r="M13" s="8" t="n">
        <v>0.03430256416193489</v>
      </c>
      <c r="N13" s="8" t="n">
        <v>1.215426838765487</v>
      </c>
      <c r="O13" s="8" t="n">
        <v>0.7141296575418072</v>
      </c>
      <c r="P13" t="b">
        <v>1</v>
      </c>
    </row>
    <row r="14">
      <c r="A14" t="inlineStr">
        <is>
          <t>192820</t>
        </is>
      </c>
      <c r="B14" t="inlineStr">
        <is>
          <t>코스맥스</t>
        </is>
      </c>
      <c r="C14" t="inlineStr">
        <is>
          <t>KOSPI</t>
        </is>
      </c>
      <c r="D14" t="inlineStr">
        <is>
          <t>KOSDAQ</t>
        </is>
      </c>
      <c r="E14" t="inlineStr">
        <is>
          <t>daily_1y</t>
        </is>
      </c>
      <c r="F14" t="inlineStr">
        <is>
          <t>D</t>
        </is>
      </c>
      <c r="G14" t="n">
        <v>250</v>
      </c>
      <c r="H14" t="n">
        <v>250</v>
      </c>
      <c r="I14" s="8" t="n">
        <v>0.4036279276897696</v>
      </c>
      <c r="J14" s="8" t="n">
        <v>0.06899376630919017</v>
      </c>
      <c r="K14" s="8" t="n">
        <v>5.850208638863728</v>
      </c>
      <c r="L14" s="9" t="n">
        <v>0.1212683081184435</v>
      </c>
      <c r="M14" s="8" t="n">
        <v>0.2677394853152203</v>
      </c>
      <c r="N14" s="8" t="n">
        <v>0.5395163700643189</v>
      </c>
      <c r="O14" s="8" t="n">
        <v>0.2461121018736914</v>
      </c>
      <c r="P14" t="b">
        <v>1</v>
      </c>
    </row>
    <row r="15">
      <c r="A15" t="inlineStr">
        <is>
          <t>192820</t>
        </is>
      </c>
      <c r="B15" t="inlineStr">
        <is>
          <t>코스맥스</t>
        </is>
      </c>
      <c r="C15" t="inlineStr">
        <is>
          <t>KOSPI</t>
        </is>
      </c>
      <c r="D15" t="inlineStr">
        <is>
          <t>KOSDAQ</t>
        </is>
      </c>
      <c r="E15" t="inlineStr">
        <is>
          <t>weekly_2y</t>
        </is>
      </c>
      <c r="F15" t="inlineStr">
        <is>
          <t>W</t>
        </is>
      </c>
      <c r="G15" t="n">
        <v>104</v>
      </c>
      <c r="H15" t="n">
        <v>104</v>
      </c>
      <c r="I15" s="8" t="n">
        <v>0.6284165073006424</v>
      </c>
      <c r="J15" s="8" t="n">
        <v>0.17377264450562</v>
      </c>
      <c r="K15" s="8" t="n">
        <v>3.616314346187663</v>
      </c>
      <c r="L15" s="9" t="n">
        <v>0.113642574570213</v>
      </c>
      <c r="M15" s="8" t="n">
        <v>0.2837392908558123</v>
      </c>
      <c r="N15" s="8" t="n">
        <v>0.9730937237454724</v>
      </c>
      <c r="O15" s="8" t="n">
        <v>0.6297844626039175</v>
      </c>
      <c r="P15" t="b">
        <v>1</v>
      </c>
    </row>
    <row r="16">
      <c r="A16" t="inlineStr">
        <is>
          <t>192820</t>
        </is>
      </c>
      <c r="B16" t="inlineStr">
        <is>
          <t>코스맥스</t>
        </is>
      </c>
      <c r="C16" t="inlineStr">
        <is>
          <t>KOSPI</t>
        </is>
      </c>
      <c r="D16" t="inlineStr">
        <is>
          <t>KOSDAQ</t>
        </is>
      </c>
      <c r="E16" t="inlineStr">
        <is>
          <t>weekly_3y</t>
        </is>
      </c>
      <c r="F16" t="inlineStr">
        <is>
          <t>W</t>
        </is>
      </c>
      <c r="G16" t="n">
        <v>156</v>
      </c>
      <c r="H16" t="n">
        <v>156</v>
      </c>
      <c r="I16" s="8" t="n">
        <v>0.5123903544162974</v>
      </c>
      <c r="J16" s="8" t="n">
        <v>0.1542606352304031</v>
      </c>
      <c r="K16" s="8" t="n">
        <v>3.321588515767441</v>
      </c>
      <c r="L16" s="9" t="n">
        <v>0.06685301480799022</v>
      </c>
      <c r="M16" s="8" t="n">
        <v>0.2076503116629924</v>
      </c>
      <c r="N16" s="8" t="n">
        <v>0.8171303971696025</v>
      </c>
      <c r="O16" s="8" t="n">
        <v>0.4841607316145622</v>
      </c>
      <c r="P16" t="b">
        <v>1</v>
      </c>
    </row>
    <row r="17">
      <c r="A17" t="inlineStr">
        <is>
          <t>192820</t>
        </is>
      </c>
      <c r="B17" t="inlineStr">
        <is>
          <t>코스맥스</t>
        </is>
      </c>
      <c r="C17" t="inlineStr">
        <is>
          <t>KOSPI</t>
        </is>
      </c>
      <c r="D17" t="inlineStr">
        <is>
          <t>KOSDAQ</t>
        </is>
      </c>
      <c r="E17" t="inlineStr">
        <is>
          <t>monthly_5y</t>
        </is>
      </c>
      <c r="F17" t="inlineStr">
        <is>
          <t>M</t>
        </is>
      </c>
      <c r="G17" t="n">
        <v>60</v>
      </c>
      <c r="H17" t="n">
        <v>60</v>
      </c>
      <c r="I17" s="8" t="n">
        <v>0.7568520566210276</v>
      </c>
      <c r="J17" s="8" t="n">
        <v>0.2554754117400155</v>
      </c>
      <c r="K17" s="8" t="n">
        <v>2.962524070188163</v>
      </c>
      <c r="L17" s="9" t="n">
        <v>0.1314316030916437</v>
      </c>
      <c r="M17" s="8" t="n">
        <v>0.2454624581718355</v>
      </c>
      <c r="N17" s="8" t="n">
        <v>1.26824165507022</v>
      </c>
      <c r="O17" s="8" t="n">
        <v>0.619634654284055</v>
      </c>
      <c r="P17" t="b">
        <v>1</v>
      </c>
    </row>
    <row r="18">
      <c r="A18" t="inlineStr">
        <is>
          <t>161890</t>
        </is>
      </c>
      <c r="B18" t="inlineStr">
        <is>
          <t>한국콜마</t>
        </is>
      </c>
      <c r="C18" t="inlineStr">
        <is>
          <t>KOSPI</t>
        </is>
      </c>
      <c r="D18" t="inlineStr">
        <is>
          <t>KOSPI (기본)</t>
        </is>
      </c>
      <c r="E18" t="inlineStr">
        <is>
          <t>daily_1y</t>
        </is>
      </c>
      <c r="F18" t="inlineStr">
        <is>
          <t>D</t>
        </is>
      </c>
      <c r="G18" t="n">
        <v>250</v>
      </c>
      <c r="H18" t="n">
        <v>250</v>
      </c>
      <c r="I18" s="8" t="n">
        <v>0.2605771888483435</v>
      </c>
      <c r="J18" s="8" t="n">
        <v>0.06003167740905576</v>
      </c>
      <c r="K18" s="8" t="n">
        <v>4.34066146565872</v>
      </c>
      <c r="L18" s="9" t="n">
        <v>0.07060878131214521</v>
      </c>
      <c r="M18" s="8" t="n">
        <v>0.1423402585771316</v>
      </c>
      <c r="N18" s="8" t="n">
        <v>0.3788141191195554</v>
      </c>
      <c r="O18" s="8" t="n">
        <v>0.1452465420896132</v>
      </c>
      <c r="P18" t="b">
        <v>1</v>
      </c>
    </row>
    <row r="19">
      <c r="A19" t="inlineStr">
        <is>
          <t>161890</t>
        </is>
      </c>
      <c r="B19" t="inlineStr">
        <is>
          <t>한국콜마</t>
        </is>
      </c>
      <c r="C19" t="inlineStr">
        <is>
          <t>KOSPI</t>
        </is>
      </c>
      <c r="D19" t="inlineStr">
        <is>
          <t>KOSPI (기본)</t>
        </is>
      </c>
      <c r="E19" t="inlineStr">
        <is>
          <t>weekly_2y</t>
        </is>
      </c>
      <c r="F19" t="inlineStr">
        <is>
          <t>W</t>
        </is>
      </c>
      <c r="G19" t="n">
        <v>104</v>
      </c>
      <c r="H19" t="n">
        <v>104</v>
      </c>
      <c r="I19" s="8" t="n">
        <v>0.3344353556576966</v>
      </c>
      <c r="J19" s="8" t="n">
        <v>0.1529155619864366</v>
      </c>
      <c r="K19" s="8" t="n">
        <v>2.187058997222013</v>
      </c>
      <c r="L19" s="9" t="n">
        <v>0.04479380506792274</v>
      </c>
      <c r="M19" s="8" t="n">
        <v>0.03112806349712155</v>
      </c>
      <c r="N19" s="8" t="n">
        <v>0.6377426478182715</v>
      </c>
      <c r="O19" s="8" t="n">
        <v>0.1805284748910457</v>
      </c>
      <c r="P19" t="b">
        <v>1</v>
      </c>
    </row>
    <row r="20">
      <c r="A20" t="inlineStr">
        <is>
          <t>161890</t>
        </is>
      </c>
      <c r="B20" t="inlineStr">
        <is>
          <t>한국콜마</t>
        </is>
      </c>
      <c r="C20" t="inlineStr">
        <is>
          <t>KOSPI</t>
        </is>
      </c>
      <c r="D20" t="inlineStr">
        <is>
          <t>KOSPI (기본)</t>
        </is>
      </c>
      <c r="E20" t="inlineStr">
        <is>
          <t>weekly_3y</t>
        </is>
      </c>
      <c r="F20" t="inlineStr">
        <is>
          <t>W</t>
        </is>
      </c>
      <c r="G20" t="n">
        <v>156</v>
      </c>
      <c r="H20" t="n">
        <v>156</v>
      </c>
      <c r="I20" s="8" t="n">
        <v>0.216356626489043</v>
      </c>
      <c r="J20" s="8" t="n">
        <v>0.1357274189328227</v>
      </c>
      <c r="K20" s="8" t="n">
        <v>1.594052463313453</v>
      </c>
      <c r="L20" s="9" t="n">
        <v>0.01623218966882145</v>
      </c>
      <c r="M20" s="8" t="n">
        <v>-0.05177126878771768</v>
      </c>
      <c r="N20" s="8" t="n">
        <v>0.4844845217658037</v>
      </c>
      <c r="O20" s="8" t="n">
        <v>0.09875414017049497</v>
      </c>
      <c r="P20" t="b">
        <v>1</v>
      </c>
    </row>
    <row r="21">
      <c r="A21" t="inlineStr">
        <is>
          <t>161890</t>
        </is>
      </c>
      <c r="B21" t="inlineStr">
        <is>
          <t>한국콜마</t>
        </is>
      </c>
      <c r="C21" t="inlineStr">
        <is>
          <t>KOSPI</t>
        </is>
      </c>
      <c r="D21" t="inlineStr">
        <is>
          <t>KOSPI (기본)</t>
        </is>
      </c>
      <c r="E21" t="inlineStr">
        <is>
          <t>monthly_5y</t>
        </is>
      </c>
      <c r="F21" t="inlineStr">
        <is>
          <t>M</t>
        </is>
      </c>
      <c r="G21" t="n">
        <v>60</v>
      </c>
      <c r="H21" t="n">
        <v>60</v>
      </c>
      <c r="I21" s="8" t="n">
        <v>0.315943199376388</v>
      </c>
      <c r="J21" s="8" t="n">
        <v>0.1944663685801429</v>
      </c>
      <c r="K21" s="8" t="n">
        <v>1.624667554000128</v>
      </c>
      <c r="L21" s="9" t="n">
        <v>0.04352843801476414</v>
      </c>
      <c r="M21" s="8" t="n">
        <v>-0.07332353068871572</v>
      </c>
      <c r="N21" s="8" t="n">
        <v>0.7052099294414917</v>
      </c>
      <c r="O21" s="8" t="n">
        <v>-0.1836371955347294</v>
      </c>
      <c r="P21" t="b">
        <v>1</v>
      </c>
    </row>
    <row r="22">
      <c r="A22" t="inlineStr">
        <is>
          <t>161890</t>
        </is>
      </c>
      <c r="B22" t="inlineStr">
        <is>
          <t>한국콜마</t>
        </is>
      </c>
      <c r="C22" t="inlineStr">
        <is>
          <t>KOSPI</t>
        </is>
      </c>
      <c r="D22" t="inlineStr">
        <is>
          <t>상장시장 지수 (KOSPI/KOSDAQ)</t>
        </is>
      </c>
      <c r="E22" t="inlineStr">
        <is>
          <t>daily_1y</t>
        </is>
      </c>
      <c r="F22" t="inlineStr">
        <is>
          <t>D</t>
        </is>
      </c>
      <c r="G22" t="n">
        <v>250</v>
      </c>
      <c r="H22" t="n">
        <v>250</v>
      </c>
      <c r="I22" s="8" t="n">
        <v>0.2605771888483435</v>
      </c>
      <c r="J22" s="8" t="n">
        <v>0.06003167740905576</v>
      </c>
      <c r="K22" s="8" t="n">
        <v>4.34066146565872</v>
      </c>
      <c r="L22" s="9" t="n">
        <v>0.07060878131214521</v>
      </c>
      <c r="M22" s="8" t="n">
        <v>0.1423402585771316</v>
      </c>
      <c r="N22" s="8" t="n">
        <v>0.3788141191195554</v>
      </c>
      <c r="O22" s="8" t="n">
        <v>0.1452465420896132</v>
      </c>
      <c r="P22" t="b">
        <v>1</v>
      </c>
    </row>
    <row r="23">
      <c r="A23" t="inlineStr">
        <is>
          <t>161890</t>
        </is>
      </c>
      <c r="B23" t="inlineStr">
        <is>
          <t>한국콜마</t>
        </is>
      </c>
      <c r="C23" t="inlineStr">
        <is>
          <t>KOSPI</t>
        </is>
      </c>
      <c r="D23" t="inlineStr">
        <is>
          <t>상장시장 지수 (KOSPI/KOSDAQ)</t>
        </is>
      </c>
      <c r="E23" t="inlineStr">
        <is>
          <t>weekly_2y</t>
        </is>
      </c>
      <c r="F23" t="inlineStr">
        <is>
          <t>W</t>
        </is>
      </c>
      <c r="G23" t="n">
        <v>104</v>
      </c>
      <c r="H23" t="n">
        <v>104</v>
      </c>
      <c r="I23" s="8" t="n">
        <v>0.3344353556576966</v>
      </c>
      <c r="J23" s="8" t="n">
        <v>0.1529155619864366</v>
      </c>
      <c r="K23" s="8" t="n">
        <v>2.187058997222013</v>
      </c>
      <c r="L23" s="9" t="n">
        <v>0.04479380506792274</v>
      </c>
      <c r="M23" s="8" t="n">
        <v>0.03112806349712155</v>
      </c>
      <c r="N23" s="8" t="n">
        <v>0.6377426478182715</v>
      </c>
      <c r="O23" s="8" t="n">
        <v>0.1805284748910457</v>
      </c>
      <c r="P23" t="b">
        <v>1</v>
      </c>
    </row>
    <row r="24">
      <c r="A24" t="inlineStr">
        <is>
          <t>161890</t>
        </is>
      </c>
      <c r="B24" t="inlineStr">
        <is>
          <t>한국콜마</t>
        </is>
      </c>
      <c r="C24" t="inlineStr">
        <is>
          <t>KOSPI</t>
        </is>
      </c>
      <c r="D24" t="inlineStr">
        <is>
          <t>상장시장 지수 (KOSPI/KOSDAQ)</t>
        </is>
      </c>
      <c r="E24" t="inlineStr">
        <is>
          <t>weekly_3y</t>
        </is>
      </c>
      <c r="F24" t="inlineStr">
        <is>
          <t>W</t>
        </is>
      </c>
      <c r="G24" t="n">
        <v>156</v>
      </c>
      <c r="H24" t="n">
        <v>156</v>
      </c>
      <c r="I24" s="8" t="n">
        <v>0.216356626489043</v>
      </c>
      <c r="J24" s="8" t="n">
        <v>0.1357274189328227</v>
      </c>
      <c r="K24" s="8" t="n">
        <v>1.594052463313453</v>
      </c>
      <c r="L24" s="9" t="n">
        <v>0.01623218966882145</v>
      </c>
      <c r="M24" s="8" t="n">
        <v>-0.05177126878771768</v>
      </c>
      <c r="N24" s="8" t="n">
        <v>0.4844845217658037</v>
      </c>
      <c r="O24" s="8" t="n">
        <v>0.09875414017049497</v>
      </c>
      <c r="P24" t="b">
        <v>1</v>
      </c>
    </row>
    <row r="25">
      <c r="A25" t="inlineStr">
        <is>
          <t>161890</t>
        </is>
      </c>
      <c r="B25" t="inlineStr">
        <is>
          <t>한국콜마</t>
        </is>
      </c>
      <c r="C25" t="inlineStr">
        <is>
          <t>KOSPI</t>
        </is>
      </c>
      <c r="D25" t="inlineStr">
        <is>
          <t>상장시장 지수 (KOSPI/KOSDAQ)</t>
        </is>
      </c>
      <c r="E25" t="inlineStr">
        <is>
          <t>monthly_5y</t>
        </is>
      </c>
      <c r="F25" t="inlineStr">
        <is>
          <t>M</t>
        </is>
      </c>
      <c r="G25" t="n">
        <v>60</v>
      </c>
      <c r="H25" t="n">
        <v>60</v>
      </c>
      <c r="I25" s="8" t="n">
        <v>0.315943199376388</v>
      </c>
      <c r="J25" s="8" t="n">
        <v>0.1944663685801429</v>
      </c>
      <c r="K25" s="8" t="n">
        <v>1.624667554000128</v>
      </c>
      <c r="L25" s="9" t="n">
        <v>0.04352843801476414</v>
      </c>
      <c r="M25" s="8" t="n">
        <v>-0.07332353068871572</v>
      </c>
      <c r="N25" s="8" t="n">
        <v>0.7052099294414917</v>
      </c>
      <c r="O25" s="8" t="n">
        <v>-0.1836371955347294</v>
      </c>
      <c r="P25" t="b">
        <v>1</v>
      </c>
    </row>
    <row r="26">
      <c r="A26" t="inlineStr">
        <is>
          <t>161890</t>
        </is>
      </c>
      <c r="B26" t="inlineStr">
        <is>
          <t>한국콜마</t>
        </is>
      </c>
      <c r="C26" t="inlineStr">
        <is>
          <t>KOSPI</t>
        </is>
      </c>
      <c r="D26" t="inlineStr">
        <is>
          <t>KOSPI 반도체 제외</t>
        </is>
      </c>
      <c r="E26" t="inlineStr">
        <is>
          <t>daily_1y</t>
        </is>
      </c>
      <c r="F26" t="inlineStr">
        <is>
          <t>D</t>
        </is>
      </c>
      <c r="G26" t="n">
        <v>250</v>
      </c>
      <c r="H26" t="n">
        <v>250</v>
      </c>
      <c r="I26" s="8" t="n">
        <v>0.5499559104943845</v>
      </c>
      <c r="J26" s="8" t="n">
        <v>0.07934904114001183</v>
      </c>
      <c r="K26" s="8" t="n">
        <v>6.930845068738565</v>
      </c>
      <c r="L26" s="9" t="n">
        <v>0.1622657846964667</v>
      </c>
      <c r="M26" s="8" t="n">
        <v>0.3936719709264418</v>
      </c>
      <c r="N26" s="8" t="n">
        <v>0.7062398500623273</v>
      </c>
      <c r="O26" s="8" t="n">
        <v>0.3248907573897186</v>
      </c>
      <c r="P26" t="b">
        <v>1</v>
      </c>
    </row>
    <row r="27">
      <c r="A27" t="inlineStr">
        <is>
          <t>161890</t>
        </is>
      </c>
      <c r="B27" t="inlineStr">
        <is>
          <t>한국콜마</t>
        </is>
      </c>
      <c r="C27" t="inlineStr">
        <is>
          <t>KOSPI</t>
        </is>
      </c>
      <c r="D27" t="inlineStr">
        <is>
          <t>KOSPI 반도체 제외</t>
        </is>
      </c>
      <c r="E27" t="inlineStr">
        <is>
          <t>weekly_2y</t>
        </is>
      </c>
      <c r="F27" t="inlineStr">
        <is>
          <t>W</t>
        </is>
      </c>
      <c r="G27" t="n">
        <v>104</v>
      </c>
      <c r="H27" t="n">
        <v>104</v>
      </c>
      <c r="I27" s="8" t="n">
        <v>0.6943794113591781</v>
      </c>
      <c r="J27" s="8" t="n">
        <v>0.1794961172725175</v>
      </c>
      <c r="K27" s="8" t="n">
        <v>3.868492655498204</v>
      </c>
      <c r="L27" s="9" t="n">
        <v>0.1279460120879863</v>
      </c>
      <c r="M27" s="8" t="n">
        <v>0.3383497138186932</v>
      </c>
      <c r="N27" s="8" t="n">
        <v>1.050409108899663</v>
      </c>
      <c r="O27" s="8" t="n">
        <v>0.379708238847822</v>
      </c>
      <c r="P27" t="b">
        <v>1</v>
      </c>
    </row>
    <row r="28">
      <c r="A28" t="inlineStr">
        <is>
          <t>161890</t>
        </is>
      </c>
      <c r="B28" t="inlineStr">
        <is>
          <t>한국콜마</t>
        </is>
      </c>
      <c r="C28" t="inlineStr">
        <is>
          <t>KOSPI</t>
        </is>
      </c>
      <c r="D28" t="inlineStr">
        <is>
          <t>KOSPI 반도체 제외</t>
        </is>
      </c>
      <c r="E28" t="inlineStr">
        <is>
          <t>weekly_3y</t>
        </is>
      </c>
      <c r="F28" t="inlineStr">
        <is>
          <t>W</t>
        </is>
      </c>
      <c r="G28" t="n">
        <v>156</v>
      </c>
      <c r="H28" t="n">
        <v>156</v>
      </c>
      <c r="I28" s="8" t="n">
        <v>0.4683633009464691</v>
      </c>
      <c r="J28" s="8" t="n">
        <v>0.1589412034727053</v>
      </c>
      <c r="K28" s="8" t="n">
        <v>2.94677082287791</v>
      </c>
      <c r="L28" s="9" t="n">
        <v>0.05337640577742253</v>
      </c>
      <c r="M28" s="8" t="n">
        <v>0.1543768515247453</v>
      </c>
      <c r="N28" s="8" t="n">
        <v>0.7823497503681928</v>
      </c>
      <c r="O28" s="8" t="n">
        <v>0.1160411187856614</v>
      </c>
      <c r="P28" t="b">
        <v>1</v>
      </c>
    </row>
    <row r="29">
      <c r="A29" t="inlineStr">
        <is>
          <t>161890</t>
        </is>
      </c>
      <c r="B29" t="inlineStr">
        <is>
          <t>한국콜마</t>
        </is>
      </c>
      <c r="C29" t="inlineStr">
        <is>
          <t>KOSPI</t>
        </is>
      </c>
      <c r="D29" t="inlineStr">
        <is>
          <t>KOSPI 반도체 제외</t>
        </is>
      </c>
      <c r="E29" t="inlineStr">
        <is>
          <t>monthly_5y</t>
        </is>
      </c>
      <c r="F29" t="inlineStr">
        <is>
          <t>M</t>
        </is>
      </c>
      <c r="G29" t="n">
        <v>60</v>
      </c>
      <c r="H29" t="n">
        <v>60</v>
      </c>
      <c r="I29" s="8" t="n">
        <v>0.6150661400947379</v>
      </c>
      <c r="J29" s="8" t="n">
        <v>0.2356247852347636</v>
      </c>
      <c r="K29" s="8" t="n">
        <v>2.610362655532692</v>
      </c>
      <c r="L29" s="9" t="n">
        <v>0.1051315133919813</v>
      </c>
      <c r="M29" s="8" t="n">
        <v>0.1434118877923454</v>
      </c>
      <c r="N29" s="8" t="n">
        <v>1.08672039239713</v>
      </c>
      <c r="O29" s="8" t="n">
        <v>0.1661799615377801</v>
      </c>
      <c r="P29" t="b">
        <v>1</v>
      </c>
    </row>
    <row r="30">
      <c r="A30" t="inlineStr">
        <is>
          <t>161890</t>
        </is>
      </c>
      <c r="B30" t="inlineStr">
        <is>
          <t>한국콜마</t>
        </is>
      </c>
      <c r="C30" t="inlineStr">
        <is>
          <t>KOSPI</t>
        </is>
      </c>
      <c r="D30" t="inlineStr">
        <is>
          <t>KOSDAQ</t>
        </is>
      </c>
      <c r="E30" t="inlineStr">
        <is>
          <t>daily_1y</t>
        </is>
      </c>
      <c r="F30" t="inlineStr">
        <is>
          <t>D</t>
        </is>
      </c>
      <c r="G30" t="n">
        <v>250</v>
      </c>
      <c r="H30" t="n">
        <v>250</v>
      </c>
      <c r="I30" s="8" t="n">
        <v>0.4966469840992667</v>
      </c>
      <c r="J30" s="8" t="n">
        <v>0.06276197458733163</v>
      </c>
      <c r="K30" s="8" t="n">
        <v>7.913182900391312</v>
      </c>
      <c r="L30" s="9" t="n">
        <v>0.2015928573152993</v>
      </c>
      <c r="M30" s="8" t="n">
        <v>0.3730325269785586</v>
      </c>
      <c r="N30" s="8" t="n">
        <v>0.6202614412199747</v>
      </c>
      <c r="O30" s="8" t="n">
        <v>0.3405889569812656</v>
      </c>
      <c r="P30" t="b">
        <v>1</v>
      </c>
    </row>
    <row r="31">
      <c r="A31" t="inlineStr">
        <is>
          <t>161890</t>
        </is>
      </c>
      <c r="B31" t="inlineStr">
        <is>
          <t>한국콜마</t>
        </is>
      </c>
      <c r="C31" t="inlineStr">
        <is>
          <t>KOSPI</t>
        </is>
      </c>
      <c r="D31" t="inlineStr">
        <is>
          <t>KOSDAQ</t>
        </is>
      </c>
      <c r="E31" t="inlineStr">
        <is>
          <t>weekly_2y</t>
        </is>
      </c>
      <c r="F31" t="inlineStr">
        <is>
          <t>W</t>
        </is>
      </c>
      <c r="G31" t="n">
        <v>104</v>
      </c>
      <c r="H31" t="n">
        <v>104</v>
      </c>
      <c r="I31" s="8" t="n">
        <v>0.6663738287952095</v>
      </c>
      <c r="J31" s="8" t="n">
        <v>0.1485237193119443</v>
      </c>
      <c r="K31" s="8" t="n">
        <v>4.486649215911599</v>
      </c>
      <c r="L31" s="9" t="n">
        <v>0.1648245123602926</v>
      </c>
      <c r="M31" s="8" t="n">
        <v>0.3717777357558439</v>
      </c>
      <c r="N31" s="8" t="n">
        <v>0.960969921834575</v>
      </c>
      <c r="O31" s="8" t="n">
        <v>0.4363163846176629</v>
      </c>
      <c r="P31" t="b">
        <v>1</v>
      </c>
    </row>
    <row r="32">
      <c r="A32" t="inlineStr">
        <is>
          <t>161890</t>
        </is>
      </c>
      <c r="B32" t="inlineStr">
        <is>
          <t>한국콜마</t>
        </is>
      </c>
      <c r="C32" t="inlineStr">
        <is>
          <t>KOSPI</t>
        </is>
      </c>
      <c r="D32" t="inlineStr">
        <is>
          <t>KOSDAQ</t>
        </is>
      </c>
      <c r="E32" t="inlineStr">
        <is>
          <t>weekly_3y</t>
        </is>
      </c>
      <c r="F32" t="inlineStr">
        <is>
          <t>W</t>
        </is>
      </c>
      <c r="G32" t="n">
        <v>156</v>
      </c>
      <c r="H32" t="n">
        <v>156</v>
      </c>
      <c r="I32" s="8" t="n">
        <v>0.4902062521409869</v>
      </c>
      <c r="J32" s="8" t="n">
        <v>0.1341807798629969</v>
      </c>
      <c r="K32" s="8" t="n">
        <v>3.653326897052648</v>
      </c>
      <c r="L32" s="9" t="n">
        <v>0.07975532022577059</v>
      </c>
      <c r="M32" s="8" t="n">
        <v>0.2251337238770657</v>
      </c>
      <c r="N32" s="8" t="n">
        <v>0.7552787804049081</v>
      </c>
      <c r="O32" s="8" t="n">
        <v>0.3244145611818183</v>
      </c>
      <c r="P32" t="b">
        <v>1</v>
      </c>
    </row>
    <row r="33">
      <c r="A33" t="inlineStr">
        <is>
          <t>161890</t>
        </is>
      </c>
      <c r="B33" t="inlineStr">
        <is>
          <t>한국콜마</t>
        </is>
      </c>
      <c r="C33" t="inlineStr">
        <is>
          <t>KOSPI</t>
        </is>
      </c>
      <c r="D33" t="inlineStr">
        <is>
          <t>KOSDAQ</t>
        </is>
      </c>
      <c r="E33" t="inlineStr">
        <is>
          <t>monthly_5y</t>
        </is>
      </c>
      <c r="F33" t="inlineStr">
        <is>
          <t>M</t>
        </is>
      </c>
      <c r="G33" t="n">
        <v>60</v>
      </c>
      <c r="H33" t="n">
        <v>60</v>
      </c>
      <c r="I33" s="8" t="n">
        <v>0.578574254906576</v>
      </c>
      <c r="J33" s="8" t="n">
        <v>0.2096297430292569</v>
      </c>
      <c r="K33" s="8" t="n">
        <v>2.75998170176561</v>
      </c>
      <c r="L33" s="9" t="n">
        <v>0.1160894442924154</v>
      </c>
      <c r="M33" s="8" t="n">
        <v>0.1589547330880396</v>
      </c>
      <c r="N33" s="8" t="n">
        <v>0.9981937767251123</v>
      </c>
      <c r="O33" s="8" t="n">
        <v>-0.2069125690706161</v>
      </c>
      <c r="P33" t="b">
        <v>1</v>
      </c>
    </row>
    <row r="34">
      <c r="A34" t="inlineStr">
        <is>
          <t>241710</t>
        </is>
      </c>
      <c r="B34" t="inlineStr">
        <is>
          <t>코스메카코리아</t>
        </is>
      </c>
      <c r="C34" t="inlineStr">
        <is>
          <t>KOSDAQ</t>
        </is>
      </c>
      <c r="D34" t="inlineStr">
        <is>
          <t>KOSPI (기본)</t>
        </is>
      </c>
      <c r="E34" t="inlineStr">
        <is>
          <t>daily_1y</t>
        </is>
      </c>
      <c r="F34" t="inlineStr">
        <is>
          <t>D</t>
        </is>
      </c>
      <c r="G34" t="n">
        <v>250</v>
      </c>
      <c r="H34" t="n">
        <v>250</v>
      </c>
      <c r="I34" s="8" t="n">
        <v>0.1354140992696427</v>
      </c>
      <c r="J34" s="8" t="n">
        <v>0.0806886988526548</v>
      </c>
      <c r="K34" s="8" t="n">
        <v>1.678228812648493</v>
      </c>
      <c r="L34" s="9" t="n">
        <v>0.01122913559191852</v>
      </c>
      <c r="M34" s="8" t="n">
        <v>-0.02350839751331407</v>
      </c>
      <c r="N34" s="8" t="n">
        <v>0.2943365960525994</v>
      </c>
      <c r="O34" s="8" t="n">
        <v>-0.02048943056941324</v>
      </c>
      <c r="P34" t="b">
        <v>1</v>
      </c>
    </row>
    <row r="35">
      <c r="A35" t="inlineStr">
        <is>
          <t>241710</t>
        </is>
      </c>
      <c r="B35" t="inlineStr">
        <is>
          <t>코스메카코리아</t>
        </is>
      </c>
      <c r="C35" t="inlineStr">
        <is>
          <t>KOSDAQ</t>
        </is>
      </c>
      <c r="D35" t="inlineStr">
        <is>
          <t>KOSPI (기본)</t>
        </is>
      </c>
      <c r="E35" t="inlineStr">
        <is>
          <t>weekly_2y</t>
        </is>
      </c>
      <c r="F35" t="inlineStr">
        <is>
          <t>W</t>
        </is>
      </c>
      <c r="G35" t="n">
        <v>104</v>
      </c>
      <c r="H35" t="n">
        <v>104</v>
      </c>
      <c r="I35" s="8" t="n">
        <v>0.1436565244426682</v>
      </c>
      <c r="J35" s="8" t="n">
        <v>0.2222904060759135</v>
      </c>
      <c r="K35" s="8" t="n">
        <v>0.6462560709597547</v>
      </c>
      <c r="L35" s="9" t="n">
        <v>0.004077880344413698</v>
      </c>
      <c r="M35" s="8" t="n">
        <v>-0.2972554420329232</v>
      </c>
      <c r="N35" s="8" t="n">
        <v>0.5845684909182597</v>
      </c>
      <c r="O35" s="8" t="n">
        <v>0.2155684986354061</v>
      </c>
      <c r="P35" t="b">
        <v>1</v>
      </c>
    </row>
    <row r="36">
      <c r="A36" t="inlineStr">
        <is>
          <t>241710</t>
        </is>
      </c>
      <c r="B36" t="inlineStr">
        <is>
          <t>코스메카코리아</t>
        </is>
      </c>
      <c r="C36" t="inlineStr">
        <is>
          <t>KOSDAQ</t>
        </is>
      </c>
      <c r="D36" t="inlineStr">
        <is>
          <t>KOSPI (기본)</t>
        </is>
      </c>
      <c r="E36" t="inlineStr">
        <is>
          <t>weekly_3y</t>
        </is>
      </c>
      <c r="F36" t="inlineStr">
        <is>
          <t>W</t>
        </is>
      </c>
      <c r="G36" t="n">
        <v>156</v>
      </c>
      <c r="H36" t="n">
        <v>156</v>
      </c>
      <c r="I36" s="8" t="n">
        <v>0.1090415207167441</v>
      </c>
      <c r="J36" s="8" t="n">
        <v>0.202904326490568</v>
      </c>
      <c r="K36" s="8" t="n">
        <v>0.5374036256531614</v>
      </c>
      <c r="L36" s="9" t="n">
        <v>0.001871831603408425</v>
      </c>
      <c r="M36" s="8" t="n">
        <v>-0.2917935532294548</v>
      </c>
      <c r="N36" s="8" t="n">
        <v>0.5098765946629429</v>
      </c>
      <c r="O36" s="8" t="n">
        <v>0.133616342697311</v>
      </c>
      <c r="P36" t="b">
        <v>1</v>
      </c>
    </row>
    <row r="37">
      <c r="A37" t="inlineStr">
        <is>
          <t>241710</t>
        </is>
      </c>
      <c r="B37" t="inlineStr">
        <is>
          <t>코스메카코리아</t>
        </is>
      </c>
      <c r="C37" t="inlineStr">
        <is>
          <t>KOSDAQ</t>
        </is>
      </c>
      <c r="D37" t="inlineStr">
        <is>
          <t>KOSPI (기본)</t>
        </is>
      </c>
      <c r="E37" t="inlineStr">
        <is>
          <t>monthly_5y</t>
        </is>
      </c>
      <c r="F37" t="inlineStr">
        <is>
          <t>M</t>
        </is>
      </c>
      <c r="G37" t="n">
        <v>60</v>
      </c>
      <c r="H37" t="n">
        <v>60</v>
      </c>
      <c r="I37" s="8" t="n">
        <v>0.145745117882436</v>
      </c>
      <c r="J37" s="8" t="n">
        <v>0.3216919727692802</v>
      </c>
      <c r="K37" s="8" t="n">
        <v>0.4530579878254078</v>
      </c>
      <c r="L37" s="9" t="n">
        <v>0.00352651177746488</v>
      </c>
      <c r="M37" s="8" t="n">
        <v>-0.4981913285190053</v>
      </c>
      <c r="N37" s="8" t="n">
        <v>0.7896815642838773</v>
      </c>
      <c r="O37" s="8" t="n">
        <v>-0.04486193703387673</v>
      </c>
      <c r="P37" t="b">
        <v>1</v>
      </c>
    </row>
    <row r="38">
      <c r="A38" t="inlineStr">
        <is>
          <t>241710</t>
        </is>
      </c>
      <c r="B38" t="inlineStr">
        <is>
          <t>코스메카코리아</t>
        </is>
      </c>
      <c r="C38" t="inlineStr">
        <is>
          <t>KOSDAQ</t>
        </is>
      </c>
      <c r="D38" t="inlineStr">
        <is>
          <t>상장시장 지수 (KOSPI/KOSDAQ)</t>
        </is>
      </c>
      <c r="E38" t="inlineStr">
        <is>
          <t>daily_1y</t>
        </is>
      </c>
      <c r="F38" t="inlineStr">
        <is>
          <t>D</t>
        </is>
      </c>
      <c r="G38" t="n">
        <v>250</v>
      </c>
      <c r="H38" t="n">
        <v>250</v>
      </c>
      <c r="I38" s="8" t="n">
        <v>0.4288278408233738</v>
      </c>
      <c r="J38" s="8" t="n">
        <v>0.08738657591521332</v>
      </c>
      <c r="K38" s="8" t="n">
        <v>4.907250757135093</v>
      </c>
      <c r="L38" s="9" t="n">
        <v>0.08850709993790751</v>
      </c>
      <c r="M38" s="8" t="n">
        <v>0.2567133684470212</v>
      </c>
      <c r="N38" s="8" t="n">
        <v>0.6009423131997265</v>
      </c>
      <c r="O38" s="8" t="n">
        <v>0.3289716966673121</v>
      </c>
      <c r="P38" t="b">
        <v>1</v>
      </c>
    </row>
    <row r="39">
      <c r="A39" t="inlineStr">
        <is>
          <t>241710</t>
        </is>
      </c>
      <c r="B39" t="inlineStr">
        <is>
          <t>코스메카코리아</t>
        </is>
      </c>
      <c r="C39" t="inlineStr">
        <is>
          <t>KOSDAQ</t>
        </is>
      </c>
      <c r="D39" t="inlineStr">
        <is>
          <t>상장시장 지수 (KOSPI/KOSDAQ)</t>
        </is>
      </c>
      <c r="E39" t="inlineStr">
        <is>
          <t>weekly_2y</t>
        </is>
      </c>
      <c r="F39" t="inlineStr">
        <is>
          <t>W</t>
        </is>
      </c>
      <c r="G39" t="n">
        <v>104</v>
      </c>
      <c r="H39" t="n">
        <v>104</v>
      </c>
      <c r="I39" s="8" t="n">
        <v>0.8969426424140126</v>
      </c>
      <c r="J39" s="8" t="n">
        <v>0.2136491235155193</v>
      </c>
      <c r="K39" s="8" t="n">
        <v>4.19820417540285</v>
      </c>
      <c r="L39" s="9" t="n">
        <v>0.1473348408431898</v>
      </c>
      <c r="M39" s="8" t="n">
        <v>0.4731706189248649</v>
      </c>
      <c r="N39" s="8" t="n">
        <v>1.32071466590316</v>
      </c>
      <c r="O39" s="8" t="n">
        <v>1.142109945981315</v>
      </c>
      <c r="P39" t="b">
        <v>1</v>
      </c>
    </row>
    <row r="40">
      <c r="A40" t="inlineStr">
        <is>
          <t>241710</t>
        </is>
      </c>
      <c r="B40" t="inlineStr">
        <is>
          <t>코스메카코리아</t>
        </is>
      </c>
      <c r="C40" t="inlineStr">
        <is>
          <t>KOSDAQ</t>
        </is>
      </c>
      <c r="D40" t="inlineStr">
        <is>
          <t>상장시장 지수 (KOSPI/KOSDAQ)</t>
        </is>
      </c>
      <c r="E40" t="inlineStr">
        <is>
          <t>weekly_3y</t>
        </is>
      </c>
      <c r="F40" t="inlineStr">
        <is>
          <t>W</t>
        </is>
      </c>
      <c r="G40" t="n">
        <v>156</v>
      </c>
      <c r="H40" t="n">
        <v>156</v>
      </c>
      <c r="I40" s="8" t="n">
        <v>0.7541773666671222</v>
      </c>
      <c r="J40" s="8" t="n">
        <v>0.1984994024276657</v>
      </c>
      <c r="K40" s="8" t="n">
        <v>3.799393637680843</v>
      </c>
      <c r="L40" s="9" t="n">
        <v>0.08570284333618894</v>
      </c>
      <c r="M40" s="8" t="n">
        <v>0.3620441676046161</v>
      </c>
      <c r="N40" s="8" t="n">
        <v>1.146310565729628</v>
      </c>
      <c r="O40" s="8" t="n">
        <v>0.8308224746775454</v>
      </c>
      <c r="P40" t="b">
        <v>1</v>
      </c>
    </row>
    <row r="41">
      <c r="A41" t="inlineStr">
        <is>
          <t>241710</t>
        </is>
      </c>
      <c r="B41" t="inlineStr">
        <is>
          <t>코스메카코리아</t>
        </is>
      </c>
      <c r="C41" t="inlineStr">
        <is>
          <t>KOSDAQ</t>
        </is>
      </c>
      <c r="D41" t="inlineStr">
        <is>
          <t>상장시장 지수 (KOSPI/KOSDAQ)</t>
        </is>
      </c>
      <c r="E41" t="inlineStr">
        <is>
          <t>monthly_5y</t>
        </is>
      </c>
      <c r="F41" t="inlineStr">
        <is>
          <t>M</t>
        </is>
      </c>
      <c r="G41" t="n">
        <v>60</v>
      </c>
      <c r="H41" t="n">
        <v>60</v>
      </c>
      <c r="I41" s="8" t="n">
        <v>0.7094428934048179</v>
      </c>
      <c r="J41" s="8" t="n">
        <v>0.3491530310433185</v>
      </c>
      <c r="K41" s="8" t="n">
        <v>2.031896705249565</v>
      </c>
      <c r="L41" s="9" t="n">
        <v>0.06645255068230826</v>
      </c>
      <c r="M41" s="8" t="n">
        <v>0.01053716652310299</v>
      </c>
      <c r="N41" s="8" t="n">
        <v>1.408348620286533</v>
      </c>
      <c r="O41" s="8" t="n">
        <v>0.4665512864361127</v>
      </c>
      <c r="P41" t="b">
        <v>1</v>
      </c>
    </row>
    <row r="42">
      <c r="A42" t="inlineStr">
        <is>
          <t>241710</t>
        </is>
      </c>
      <c r="B42" t="inlineStr">
        <is>
          <t>코스메카코리아</t>
        </is>
      </c>
      <c r="C42" t="inlineStr">
        <is>
          <t>KOSDAQ</t>
        </is>
      </c>
      <c r="D42" t="inlineStr">
        <is>
          <t>KOSPI 반도체 제외</t>
        </is>
      </c>
      <c r="E42" t="inlineStr">
        <is>
          <t>daily_1y</t>
        </is>
      </c>
      <c r="F42" t="inlineStr">
        <is>
          <t>D</t>
        </is>
      </c>
      <c r="G42" t="n">
        <v>250</v>
      </c>
      <c r="H42" t="n">
        <v>250</v>
      </c>
      <c r="I42" s="8" t="n">
        <v>0.3850982631095414</v>
      </c>
      <c r="J42" s="8" t="n">
        <v>0.1102940158510692</v>
      </c>
      <c r="K42" s="8" t="n">
        <v>3.491560808063626</v>
      </c>
      <c r="L42" s="9" t="n">
        <v>0.04685403039597413</v>
      </c>
      <c r="M42" s="8" t="n">
        <v>0.1678658547486249</v>
      </c>
      <c r="N42" s="8" t="n">
        <v>0.6023306714704579</v>
      </c>
      <c r="O42" s="8" t="n">
        <v>0.2144631184144931</v>
      </c>
      <c r="P42" t="b">
        <v>1</v>
      </c>
    </row>
    <row r="43">
      <c r="A43" t="inlineStr">
        <is>
          <t>241710</t>
        </is>
      </c>
      <c r="B43" t="inlineStr">
        <is>
          <t>코스메카코리아</t>
        </is>
      </c>
      <c r="C43" t="inlineStr">
        <is>
          <t>KOSDAQ</t>
        </is>
      </c>
      <c r="D43" t="inlineStr">
        <is>
          <t>KOSPI 반도체 제외</t>
        </is>
      </c>
      <c r="E43" t="inlineStr">
        <is>
          <t>weekly_2y</t>
        </is>
      </c>
      <c r="F43" t="inlineStr">
        <is>
          <t>W</t>
        </is>
      </c>
      <c r="G43" t="n">
        <v>104</v>
      </c>
      <c r="H43" t="n">
        <v>104</v>
      </c>
      <c r="I43" s="8" t="n">
        <v>0.5868100715960584</v>
      </c>
      <c r="J43" s="8" t="n">
        <v>0.2674058866083712</v>
      </c>
      <c r="K43" s="8" t="n">
        <v>2.19445457629536</v>
      </c>
      <c r="L43" s="9" t="n">
        <v>0.04508357856818734</v>
      </c>
      <c r="M43" s="8" t="n">
        <v>0.05641176339655107</v>
      </c>
      <c r="N43" s="8" t="n">
        <v>1.117208379795566</v>
      </c>
      <c r="O43" s="8" t="n">
        <v>0.5994424559203225</v>
      </c>
      <c r="P43" t="b">
        <v>1</v>
      </c>
    </row>
    <row r="44">
      <c r="A44" t="inlineStr">
        <is>
          <t>241710</t>
        </is>
      </c>
      <c r="B44" t="inlineStr">
        <is>
          <t>코스메카코리아</t>
        </is>
      </c>
      <c r="C44" t="inlineStr">
        <is>
          <t>KOSDAQ</t>
        </is>
      </c>
      <c r="D44" t="inlineStr">
        <is>
          <t>KOSPI 반도체 제외</t>
        </is>
      </c>
      <c r="E44" t="inlineStr">
        <is>
          <t>weekly_3y</t>
        </is>
      </c>
      <c r="F44" t="inlineStr">
        <is>
          <t>W</t>
        </is>
      </c>
      <c r="G44" t="n">
        <v>156</v>
      </c>
      <c r="H44" t="n">
        <v>156</v>
      </c>
      <c r="I44" s="8" t="n">
        <v>0.448467074080784</v>
      </c>
      <c r="J44" s="8" t="n">
        <v>0.2397429678680215</v>
      </c>
      <c r="K44" s="8" t="n">
        <v>1.870616177270588</v>
      </c>
      <c r="L44" s="9" t="n">
        <v>0.02221728601914696</v>
      </c>
      <c r="M44" s="8" t="n">
        <v>-0.02514229598815171</v>
      </c>
      <c r="N44" s="8" t="n">
        <v>0.9220764441497196</v>
      </c>
      <c r="O44" s="8" t="n">
        <v>0.3002385478842979</v>
      </c>
      <c r="P44" t="b">
        <v>1</v>
      </c>
    </row>
    <row r="45">
      <c r="A45" t="inlineStr">
        <is>
          <t>241710</t>
        </is>
      </c>
      <c r="B45" t="inlineStr">
        <is>
          <t>코스메카코리아</t>
        </is>
      </c>
      <c r="C45" t="inlineStr">
        <is>
          <t>KOSDAQ</t>
        </is>
      </c>
      <c r="D45" t="inlineStr">
        <is>
          <t>KOSPI 반도체 제외</t>
        </is>
      </c>
      <c r="E45" t="inlineStr">
        <is>
          <t>monthly_5y</t>
        </is>
      </c>
      <c r="F45" t="inlineStr">
        <is>
          <t>M</t>
        </is>
      </c>
      <c r="G45" t="n">
        <v>60</v>
      </c>
      <c r="H45" t="n">
        <v>60</v>
      </c>
      <c r="I45" s="8" t="n">
        <v>0.4640986627012431</v>
      </c>
      <c r="J45" s="8" t="n">
        <v>0.3990566636432228</v>
      </c>
      <c r="K45" s="8" t="n">
        <v>1.162989382169975</v>
      </c>
      <c r="L45" s="9" t="n">
        <v>0.0227883120921375</v>
      </c>
      <c r="M45" s="8" t="n">
        <v>-0.3347000380780604</v>
      </c>
      <c r="N45" s="8" t="n">
        <v>1.262897363480547</v>
      </c>
      <c r="O45" s="8" t="n">
        <v>0.6041481319071065</v>
      </c>
      <c r="P45" t="b">
        <v>1</v>
      </c>
    </row>
    <row r="46">
      <c r="A46" t="inlineStr">
        <is>
          <t>241710</t>
        </is>
      </c>
      <c r="B46" t="inlineStr">
        <is>
          <t>코스메카코리아</t>
        </is>
      </c>
      <c r="C46" t="inlineStr">
        <is>
          <t>KOSDAQ</t>
        </is>
      </c>
      <c r="D46" t="inlineStr">
        <is>
          <t>KOSDAQ</t>
        </is>
      </c>
      <c r="E46" t="inlineStr">
        <is>
          <t>daily_1y</t>
        </is>
      </c>
      <c r="F46" t="inlineStr">
        <is>
          <t>D</t>
        </is>
      </c>
      <c r="G46" t="n">
        <v>250</v>
      </c>
      <c r="H46" t="n">
        <v>250</v>
      </c>
      <c r="I46" s="8" t="n">
        <v>0.4288278408233738</v>
      </c>
      <c r="J46" s="8" t="n">
        <v>0.08738657591521332</v>
      </c>
      <c r="K46" s="8" t="n">
        <v>4.907250757135093</v>
      </c>
      <c r="L46" s="9" t="n">
        <v>0.08850709993790751</v>
      </c>
      <c r="M46" s="8" t="n">
        <v>0.2567133684470212</v>
      </c>
      <c r="N46" s="8" t="n">
        <v>0.6009423131997265</v>
      </c>
      <c r="O46" s="8" t="n">
        <v>0.3289716966673121</v>
      </c>
      <c r="P46" t="b">
        <v>1</v>
      </c>
    </row>
    <row r="47">
      <c r="A47" t="inlineStr">
        <is>
          <t>241710</t>
        </is>
      </c>
      <c r="B47" t="inlineStr">
        <is>
          <t>코스메카코리아</t>
        </is>
      </c>
      <c r="C47" t="inlineStr">
        <is>
          <t>KOSDAQ</t>
        </is>
      </c>
      <c r="D47" t="inlineStr">
        <is>
          <t>KOSDAQ</t>
        </is>
      </c>
      <c r="E47" t="inlineStr">
        <is>
          <t>weekly_2y</t>
        </is>
      </c>
      <c r="F47" t="inlineStr">
        <is>
          <t>W</t>
        </is>
      </c>
      <c r="G47" t="n">
        <v>104</v>
      </c>
      <c r="H47" t="n">
        <v>104</v>
      </c>
      <c r="I47" s="8" t="n">
        <v>0.8969426424140126</v>
      </c>
      <c r="J47" s="8" t="n">
        <v>0.2136491235155193</v>
      </c>
      <c r="K47" s="8" t="n">
        <v>4.19820417540285</v>
      </c>
      <c r="L47" s="9" t="n">
        <v>0.1473348408431898</v>
      </c>
      <c r="M47" s="8" t="n">
        <v>0.4731706189248649</v>
      </c>
      <c r="N47" s="8" t="n">
        <v>1.32071466590316</v>
      </c>
      <c r="O47" s="8" t="n">
        <v>1.142109945981315</v>
      </c>
      <c r="P47" t="b">
        <v>1</v>
      </c>
    </row>
    <row r="48">
      <c r="A48" t="inlineStr">
        <is>
          <t>241710</t>
        </is>
      </c>
      <c r="B48" t="inlineStr">
        <is>
          <t>코스메카코리아</t>
        </is>
      </c>
      <c r="C48" t="inlineStr">
        <is>
          <t>KOSDAQ</t>
        </is>
      </c>
      <c r="D48" t="inlineStr">
        <is>
          <t>KOSDAQ</t>
        </is>
      </c>
      <c r="E48" t="inlineStr">
        <is>
          <t>weekly_3y</t>
        </is>
      </c>
      <c r="F48" t="inlineStr">
        <is>
          <t>W</t>
        </is>
      </c>
      <c r="G48" t="n">
        <v>156</v>
      </c>
      <c r="H48" t="n">
        <v>156</v>
      </c>
      <c r="I48" s="8" t="n">
        <v>0.7541773666671222</v>
      </c>
      <c r="J48" s="8" t="n">
        <v>0.1984994024276657</v>
      </c>
      <c r="K48" s="8" t="n">
        <v>3.799393637680843</v>
      </c>
      <c r="L48" s="9" t="n">
        <v>0.08570284333618894</v>
      </c>
      <c r="M48" s="8" t="n">
        <v>0.3620441676046161</v>
      </c>
      <c r="N48" s="8" t="n">
        <v>1.146310565729628</v>
      </c>
      <c r="O48" s="8" t="n">
        <v>0.8308224746775454</v>
      </c>
      <c r="P48" t="b">
        <v>1</v>
      </c>
    </row>
    <row r="49">
      <c r="A49" t="inlineStr">
        <is>
          <t>241710</t>
        </is>
      </c>
      <c r="B49" t="inlineStr">
        <is>
          <t>코스메카코리아</t>
        </is>
      </c>
      <c r="C49" t="inlineStr">
        <is>
          <t>KOSDAQ</t>
        </is>
      </c>
      <c r="D49" t="inlineStr">
        <is>
          <t>KOSDAQ</t>
        </is>
      </c>
      <c r="E49" t="inlineStr">
        <is>
          <t>monthly_5y</t>
        </is>
      </c>
      <c r="F49" t="inlineStr">
        <is>
          <t>M</t>
        </is>
      </c>
      <c r="G49" t="n">
        <v>60</v>
      </c>
      <c r="H49" t="n">
        <v>60</v>
      </c>
      <c r="I49" s="8" t="n">
        <v>0.7094428934048179</v>
      </c>
      <c r="J49" s="8" t="n">
        <v>0.3491530310433185</v>
      </c>
      <c r="K49" s="8" t="n">
        <v>2.031896705249565</v>
      </c>
      <c r="L49" s="9" t="n">
        <v>0.06645255068230826</v>
      </c>
      <c r="M49" s="8" t="n">
        <v>0.01053716652310299</v>
      </c>
      <c r="N49" s="8" t="n">
        <v>1.408348620286533</v>
      </c>
      <c r="O49" s="8" t="n">
        <v>0.4665512864361127</v>
      </c>
      <c r="P49" t="b">
        <v>1</v>
      </c>
    </row>
    <row r="50">
      <c r="A50" t="inlineStr">
        <is>
          <t>352480</t>
        </is>
      </c>
      <c r="B50" t="inlineStr">
        <is>
          <t>씨앤씨인터내셔널</t>
        </is>
      </c>
      <c r="C50" t="inlineStr">
        <is>
          <t>KOSDAQ</t>
        </is>
      </c>
      <c r="D50" t="inlineStr">
        <is>
          <t>KOSPI (기본)</t>
        </is>
      </c>
      <c r="E50" t="inlineStr">
        <is>
          <t>daily_1y</t>
        </is>
      </c>
      <c r="F50" t="inlineStr">
        <is>
          <t>D</t>
        </is>
      </c>
      <c r="G50" t="n">
        <v>250</v>
      </c>
      <c r="H50" t="n">
        <v>250</v>
      </c>
      <c r="I50" s="8" t="n">
        <v>0.3552221926131905</v>
      </c>
      <c r="J50" s="8" t="n">
        <v>0.05728340860863276</v>
      </c>
      <c r="K50" s="8" t="n">
        <v>6.201135743162771</v>
      </c>
      <c r="L50" s="9" t="n">
        <v>0.1342417042911535</v>
      </c>
      <c r="M50" s="8" t="n">
        <v>0.242398185660912</v>
      </c>
      <c r="N50" s="8" t="n">
        <v>0.4680461995654691</v>
      </c>
      <c r="O50" s="8" t="n">
        <v>0.2002398849635916</v>
      </c>
      <c r="P50" t="b">
        <v>1</v>
      </c>
    </row>
    <row r="51">
      <c r="A51" t="inlineStr">
        <is>
          <t>352480</t>
        </is>
      </c>
      <c r="B51" t="inlineStr">
        <is>
          <t>씨앤씨인터내셔널</t>
        </is>
      </c>
      <c r="C51" t="inlineStr">
        <is>
          <t>KOSDAQ</t>
        </is>
      </c>
      <c r="D51" t="inlineStr">
        <is>
          <t>KOSPI (기본)</t>
        </is>
      </c>
      <c r="E51" t="inlineStr">
        <is>
          <t>weekly_2y</t>
        </is>
      </c>
      <c r="F51" t="inlineStr">
        <is>
          <t>W</t>
        </is>
      </c>
      <c r="G51" t="n">
        <v>104</v>
      </c>
      <c r="H51" t="n">
        <v>104</v>
      </c>
      <c r="I51" s="8" t="n">
        <v>0.3928188223144302</v>
      </c>
      <c r="J51" s="8" t="n">
        <v>0.1963824834697492</v>
      </c>
      <c r="K51" s="8" t="n">
        <v>2.000274237161992</v>
      </c>
      <c r="L51" s="9" t="n">
        <v>0.03774580769625024</v>
      </c>
      <c r="M51" s="8" t="n">
        <v>0.003295097487379495</v>
      </c>
      <c r="N51" s="8" t="n">
        <v>0.7823425471414809</v>
      </c>
      <c r="O51" s="8" t="n">
        <v>0.2576135023065604</v>
      </c>
      <c r="P51" t="b">
        <v>1</v>
      </c>
    </row>
    <row r="52">
      <c r="A52" t="inlineStr">
        <is>
          <t>352480</t>
        </is>
      </c>
      <c r="B52" t="inlineStr">
        <is>
          <t>씨앤씨인터내셔널</t>
        </is>
      </c>
      <c r="C52" t="inlineStr">
        <is>
          <t>KOSDAQ</t>
        </is>
      </c>
      <c r="D52" t="inlineStr">
        <is>
          <t>KOSPI (기본)</t>
        </is>
      </c>
      <c r="E52" t="inlineStr">
        <is>
          <t>weekly_3y</t>
        </is>
      </c>
      <c r="F52" t="inlineStr">
        <is>
          <t>W</t>
        </is>
      </c>
      <c r="G52" t="n">
        <v>156</v>
      </c>
      <c r="H52" t="n">
        <v>156</v>
      </c>
      <c r="I52" s="8" t="n">
        <v>0.2560932766105097</v>
      </c>
      <c r="J52" s="8" t="n">
        <v>0.1761662460097861</v>
      </c>
      <c r="K52" s="8" t="n">
        <v>1.453702297750521</v>
      </c>
      <c r="L52" s="9" t="n">
        <v>0.01353664961475121</v>
      </c>
      <c r="M52" s="8" t="n">
        <v>-0.09192103864579587</v>
      </c>
      <c r="N52" s="8" t="n">
        <v>0.6041075918668153</v>
      </c>
      <c r="O52" s="8" t="n">
        <v>0.1189901447929783</v>
      </c>
      <c r="P52" t="b">
        <v>1</v>
      </c>
    </row>
    <row r="53">
      <c r="A53" t="inlineStr">
        <is>
          <t>352480</t>
        </is>
      </c>
      <c r="B53" t="inlineStr">
        <is>
          <t>씨앤씨인터내셔널</t>
        </is>
      </c>
      <c r="C53" t="inlineStr">
        <is>
          <t>KOSDAQ</t>
        </is>
      </c>
      <c r="D53" t="inlineStr">
        <is>
          <t>KOSPI (기본)</t>
        </is>
      </c>
      <c r="E53" t="inlineStr">
        <is>
          <t>monthly_5y</t>
        </is>
      </c>
      <c r="F53" t="inlineStr">
        <is>
          <t>M</t>
        </is>
      </c>
      <c r="G53" t="n">
        <v>60</v>
      </c>
      <c r="H53" t="n">
        <v>60</v>
      </c>
      <c r="I53" s="8" t="n">
        <v>0.1360801684658359</v>
      </c>
      <c r="J53" s="8" t="n">
        <v>0.2721569351976546</v>
      </c>
      <c r="K53" s="8" t="n">
        <v>0.5000062495817251</v>
      </c>
      <c r="L53" s="9" t="n">
        <v>0.004291952322707404</v>
      </c>
      <c r="M53" s="8" t="n">
        <v>-0.4087011271506912</v>
      </c>
      <c r="N53" s="8" t="n">
        <v>0.6808614640823629</v>
      </c>
      <c r="O53" s="8" t="n">
        <v>-0.1462936582683294</v>
      </c>
      <c r="P53" t="b">
        <v>1</v>
      </c>
    </row>
    <row r="54">
      <c r="A54" t="inlineStr">
        <is>
          <t>352480</t>
        </is>
      </c>
      <c r="B54" t="inlineStr">
        <is>
          <t>씨앤씨인터내셔널</t>
        </is>
      </c>
      <c r="C54" t="inlineStr">
        <is>
          <t>KOSDAQ</t>
        </is>
      </c>
      <c r="D54" t="inlineStr">
        <is>
          <t>상장시장 지수 (KOSPI/KOSDAQ)</t>
        </is>
      </c>
      <c r="E54" t="inlineStr">
        <is>
          <t>daily_1y</t>
        </is>
      </c>
      <c r="F54" t="inlineStr">
        <is>
          <t>D</t>
        </is>
      </c>
      <c r="G54" t="n">
        <v>250</v>
      </c>
      <c r="H54" t="n">
        <v>250</v>
      </c>
      <c r="I54" s="8" t="n">
        <v>0.6506593431720741</v>
      </c>
      <c r="J54" s="8" t="n">
        <v>0.05581540702577947</v>
      </c>
      <c r="K54" s="8" t="n">
        <v>11.65734297828472</v>
      </c>
      <c r="L54" s="9" t="n">
        <v>0.3539877436690495</v>
      </c>
      <c r="M54" s="8" t="n">
        <v>0.5407266763968679</v>
      </c>
      <c r="N54" s="8" t="n">
        <v>0.7605920099472803</v>
      </c>
      <c r="O54" s="8" t="n">
        <v>0.5921721230348677</v>
      </c>
      <c r="P54" t="b">
        <v>1</v>
      </c>
    </row>
    <row r="55">
      <c r="A55" t="inlineStr">
        <is>
          <t>352480</t>
        </is>
      </c>
      <c r="B55" t="inlineStr">
        <is>
          <t>씨앤씨인터내셔널</t>
        </is>
      </c>
      <c r="C55" t="inlineStr">
        <is>
          <t>KOSDAQ</t>
        </is>
      </c>
      <c r="D55" t="inlineStr">
        <is>
          <t>상장시장 지수 (KOSPI/KOSDAQ)</t>
        </is>
      </c>
      <c r="E55" t="inlineStr">
        <is>
          <t>weekly_2y</t>
        </is>
      </c>
      <c r="F55" t="inlineStr">
        <is>
          <t>W</t>
        </is>
      </c>
      <c r="G55" t="n">
        <v>104</v>
      </c>
      <c r="H55" t="n">
        <v>104</v>
      </c>
      <c r="I55" s="8" t="n">
        <v>0.8609051211955484</v>
      </c>
      <c r="J55" s="8" t="n">
        <v>0.1896773514736981</v>
      </c>
      <c r="K55" s="8" t="n">
        <v>4.53878712722814</v>
      </c>
      <c r="L55" s="9" t="n">
        <v>0.1680300953187694</v>
      </c>
      <c r="M55" s="8" t="n">
        <v>0.4846809938907035</v>
      </c>
      <c r="N55" s="8" t="n">
        <v>1.237129248500393</v>
      </c>
      <c r="O55" s="8" t="n">
        <v>0.7854656492058584</v>
      </c>
      <c r="P55" t="b">
        <v>1</v>
      </c>
    </row>
    <row r="56">
      <c r="A56" t="inlineStr">
        <is>
          <t>352480</t>
        </is>
      </c>
      <c r="B56" t="inlineStr">
        <is>
          <t>씨앤씨인터내셔널</t>
        </is>
      </c>
      <c r="C56" t="inlineStr">
        <is>
          <t>KOSDAQ</t>
        </is>
      </c>
      <c r="D56" t="inlineStr">
        <is>
          <t>상장시장 지수 (KOSPI/KOSDAQ)</t>
        </is>
      </c>
      <c r="E56" t="inlineStr">
        <is>
          <t>weekly_3y</t>
        </is>
      </c>
      <c r="F56" t="inlineStr">
        <is>
          <t>W</t>
        </is>
      </c>
      <c r="G56" t="n">
        <v>156</v>
      </c>
      <c r="H56" t="n">
        <v>156</v>
      </c>
      <c r="I56" s="8" t="n">
        <v>0.7000687063845236</v>
      </c>
      <c r="J56" s="8" t="n">
        <v>0.1723006603029596</v>
      </c>
      <c r="K56" s="8" t="n">
        <v>4.063064559088626</v>
      </c>
      <c r="L56" s="9" t="n">
        <v>0.09681918631545439</v>
      </c>
      <c r="M56" s="8" t="n">
        <v>0.3596908095301352</v>
      </c>
      <c r="N56" s="8" t="n">
        <v>1.040446603238912</v>
      </c>
      <c r="O56" s="8" t="n">
        <v>0.6022411749825523</v>
      </c>
      <c r="P56" t="b">
        <v>1</v>
      </c>
    </row>
    <row r="57">
      <c r="A57" t="inlineStr">
        <is>
          <t>352480</t>
        </is>
      </c>
      <c r="B57" t="inlineStr">
        <is>
          <t>씨앤씨인터내셔널</t>
        </is>
      </c>
      <c r="C57" t="inlineStr">
        <is>
          <t>KOSDAQ</t>
        </is>
      </c>
      <c r="D57" t="inlineStr">
        <is>
          <t>상장시장 지수 (KOSPI/KOSDAQ)</t>
        </is>
      </c>
      <c r="E57" t="inlineStr">
        <is>
          <t>monthly_5y</t>
        </is>
      </c>
      <c r="F57" t="inlineStr">
        <is>
          <t>M</t>
        </is>
      </c>
      <c r="G57" t="n">
        <v>60</v>
      </c>
      <c r="H57" t="n">
        <v>60</v>
      </c>
      <c r="I57" s="8" t="n">
        <v>0.5880728681756497</v>
      </c>
      <c r="J57" s="8" t="n">
        <v>0.2959311705786876</v>
      </c>
      <c r="K57" s="8" t="n">
        <v>1.987194748784607</v>
      </c>
      <c r="L57" s="9" t="n">
        <v>0.06374512268167587</v>
      </c>
      <c r="M57" s="8" t="n">
        <v>-0.004297730075275452</v>
      </c>
      <c r="N57" s="8" t="n">
        <v>1.180443466426575</v>
      </c>
      <c r="O57" s="8" t="n">
        <v>0.4736930283686202</v>
      </c>
      <c r="P57" t="b">
        <v>1</v>
      </c>
    </row>
    <row r="58">
      <c r="A58" t="inlineStr">
        <is>
          <t>352480</t>
        </is>
      </c>
      <c r="B58" t="inlineStr">
        <is>
          <t>씨앤씨인터내셔널</t>
        </is>
      </c>
      <c r="C58" t="inlineStr">
        <is>
          <t>KOSDAQ</t>
        </is>
      </c>
      <c r="D58" t="inlineStr">
        <is>
          <t>KOSPI 반도체 제외</t>
        </is>
      </c>
      <c r="E58" t="inlineStr">
        <is>
          <t>daily_1y</t>
        </is>
      </c>
      <c r="F58" t="inlineStr">
        <is>
          <t>D</t>
        </is>
      </c>
      <c r="G58" t="n">
        <v>250</v>
      </c>
      <c r="H58" t="n">
        <v>250</v>
      </c>
      <c r="I58" s="8" t="n">
        <v>0.5912318850799763</v>
      </c>
      <c r="J58" s="8" t="n">
        <v>0.07705143492916196</v>
      </c>
      <c r="K58" s="8" t="n">
        <v>7.673210571919023</v>
      </c>
      <c r="L58" s="9" t="n">
        <v>0.191861683440498</v>
      </c>
      <c r="M58" s="8" t="n">
        <v>0.4394732547665435</v>
      </c>
      <c r="N58" s="8" t="n">
        <v>0.742990515393409</v>
      </c>
      <c r="O58" s="8" t="n">
        <v>0.3752010347276025</v>
      </c>
      <c r="P58" t="b">
        <v>1</v>
      </c>
    </row>
    <row r="59">
      <c r="A59" t="inlineStr">
        <is>
          <t>352480</t>
        </is>
      </c>
      <c r="B59" t="inlineStr">
        <is>
          <t>씨앤씨인터내셔널</t>
        </is>
      </c>
      <c r="C59" t="inlineStr">
        <is>
          <t>KOSDAQ</t>
        </is>
      </c>
      <c r="D59" t="inlineStr">
        <is>
          <t>KOSPI 반도체 제외</t>
        </is>
      </c>
      <c r="E59" t="inlineStr">
        <is>
          <t>weekly_2y</t>
        </is>
      </c>
      <c r="F59" t="inlineStr">
        <is>
          <t>W</t>
        </is>
      </c>
      <c r="G59" t="n">
        <v>104</v>
      </c>
      <c r="H59" t="n">
        <v>104</v>
      </c>
      <c r="I59" s="8" t="n">
        <v>0.6361864074942614</v>
      </c>
      <c r="J59" s="8" t="n">
        <v>0.2377414517851618</v>
      </c>
      <c r="K59" s="8" t="n">
        <v>2.675959125837087</v>
      </c>
      <c r="L59" s="9" t="n">
        <v>0.06559827381190186</v>
      </c>
      <c r="M59" s="8" t="n">
        <v>0.1646273651145376</v>
      </c>
      <c r="N59" s="8" t="n">
        <v>1.107745449873985</v>
      </c>
      <c r="O59" s="8" t="n">
        <v>0.5874747194970371</v>
      </c>
      <c r="P59" t="b">
        <v>1</v>
      </c>
    </row>
    <row r="60">
      <c r="A60" t="inlineStr">
        <is>
          <t>352480</t>
        </is>
      </c>
      <c r="B60" t="inlineStr">
        <is>
          <t>씨앤씨인터내셔널</t>
        </is>
      </c>
      <c r="C60" t="inlineStr">
        <is>
          <t>KOSDAQ</t>
        </is>
      </c>
      <c r="D60" t="inlineStr">
        <is>
          <t>KOSPI 반도체 제외</t>
        </is>
      </c>
      <c r="E60" t="inlineStr">
        <is>
          <t>weekly_3y</t>
        </is>
      </c>
      <c r="F60" t="inlineStr">
        <is>
          <t>W</t>
        </is>
      </c>
      <c r="G60" t="n">
        <v>156</v>
      </c>
      <c r="H60" t="n">
        <v>156</v>
      </c>
      <c r="I60" s="8" t="n">
        <v>0.3639306194106489</v>
      </c>
      <c r="J60" s="8" t="n">
        <v>0.2097021751172584</v>
      </c>
      <c r="K60" s="8" t="n">
        <v>1.735464208738661</v>
      </c>
      <c r="L60" s="9" t="n">
        <v>0.01918222279391002</v>
      </c>
      <c r="M60" s="8" t="n">
        <v>-0.05033352331926144</v>
      </c>
      <c r="N60" s="8" t="n">
        <v>0.7781947621405593</v>
      </c>
      <c r="O60" s="8" t="n">
        <v>0.2182533981317689</v>
      </c>
      <c r="P60" t="b">
        <v>1</v>
      </c>
    </row>
    <row r="61">
      <c r="A61" t="inlineStr">
        <is>
          <t>352480</t>
        </is>
      </c>
      <c r="B61" t="inlineStr">
        <is>
          <t>씨앤씨인터내셔널</t>
        </is>
      </c>
      <c r="C61" t="inlineStr">
        <is>
          <t>KOSDAQ</t>
        </is>
      </c>
      <c r="D61" t="inlineStr">
        <is>
          <t>KOSPI 반도체 제외</t>
        </is>
      </c>
      <c r="E61" t="inlineStr">
        <is>
          <t>monthly_5y</t>
        </is>
      </c>
      <c r="F61" t="inlineStr">
        <is>
          <t>M</t>
        </is>
      </c>
      <c r="G61" t="n">
        <v>60</v>
      </c>
      <c r="H61" t="n">
        <v>60</v>
      </c>
      <c r="I61" s="8" t="n">
        <v>0.3114196008163134</v>
      </c>
      <c r="J61" s="8" t="n">
        <v>0.3391979219989943</v>
      </c>
      <c r="K61" s="8" t="n">
        <v>0.9181058627394441</v>
      </c>
      <c r="L61" s="9" t="n">
        <v>0.01432489071704235</v>
      </c>
      <c r="M61" s="8" t="n">
        <v>-0.3675588102348055</v>
      </c>
      <c r="N61" s="8" t="n">
        <v>0.9903980118674323</v>
      </c>
      <c r="O61" s="8" t="n">
        <v>0.3589510631278303</v>
      </c>
      <c r="P61" t="b">
        <v>1</v>
      </c>
    </row>
    <row r="62">
      <c r="A62" t="inlineStr">
        <is>
          <t>352480</t>
        </is>
      </c>
      <c r="B62" t="inlineStr">
        <is>
          <t>씨앤씨인터내셔널</t>
        </is>
      </c>
      <c r="C62" t="inlineStr">
        <is>
          <t>KOSDAQ</t>
        </is>
      </c>
      <c r="D62" t="inlineStr">
        <is>
          <t>KOSDAQ</t>
        </is>
      </c>
      <c r="E62" t="inlineStr">
        <is>
          <t>daily_1y</t>
        </is>
      </c>
      <c r="F62" t="inlineStr">
        <is>
          <t>D</t>
        </is>
      </c>
      <c r="G62" t="n">
        <v>250</v>
      </c>
      <c r="H62" t="n">
        <v>250</v>
      </c>
      <c r="I62" s="8" t="n">
        <v>0.6506593431720741</v>
      </c>
      <c r="J62" s="8" t="n">
        <v>0.05581540702577947</v>
      </c>
      <c r="K62" s="8" t="n">
        <v>11.65734297828472</v>
      </c>
      <c r="L62" s="9" t="n">
        <v>0.3539877436690495</v>
      </c>
      <c r="M62" s="8" t="n">
        <v>0.5407266763968679</v>
      </c>
      <c r="N62" s="8" t="n">
        <v>0.7605920099472803</v>
      </c>
      <c r="O62" s="8" t="n">
        <v>0.5921721230348677</v>
      </c>
      <c r="P62" t="b">
        <v>1</v>
      </c>
    </row>
    <row r="63">
      <c r="A63" t="inlineStr">
        <is>
          <t>352480</t>
        </is>
      </c>
      <c r="B63" t="inlineStr">
        <is>
          <t>씨앤씨인터내셔널</t>
        </is>
      </c>
      <c r="C63" t="inlineStr">
        <is>
          <t>KOSDAQ</t>
        </is>
      </c>
      <c r="D63" t="inlineStr">
        <is>
          <t>KOSDAQ</t>
        </is>
      </c>
      <c r="E63" t="inlineStr">
        <is>
          <t>weekly_2y</t>
        </is>
      </c>
      <c r="F63" t="inlineStr">
        <is>
          <t>W</t>
        </is>
      </c>
      <c r="G63" t="n">
        <v>104</v>
      </c>
      <c r="H63" t="n">
        <v>104</v>
      </c>
      <c r="I63" s="8" t="n">
        <v>0.8609051211955484</v>
      </c>
      <c r="J63" s="8" t="n">
        <v>0.1896773514736981</v>
      </c>
      <c r="K63" s="8" t="n">
        <v>4.53878712722814</v>
      </c>
      <c r="L63" s="9" t="n">
        <v>0.1680300953187694</v>
      </c>
      <c r="M63" s="8" t="n">
        <v>0.4846809938907035</v>
      </c>
      <c r="N63" s="8" t="n">
        <v>1.237129248500393</v>
      </c>
      <c r="O63" s="8" t="n">
        <v>0.7854656492058584</v>
      </c>
      <c r="P63" t="b">
        <v>1</v>
      </c>
    </row>
    <row r="64">
      <c r="A64" t="inlineStr">
        <is>
          <t>352480</t>
        </is>
      </c>
      <c r="B64" t="inlineStr">
        <is>
          <t>씨앤씨인터내셔널</t>
        </is>
      </c>
      <c r="C64" t="inlineStr">
        <is>
          <t>KOSDAQ</t>
        </is>
      </c>
      <c r="D64" t="inlineStr">
        <is>
          <t>KOSDAQ</t>
        </is>
      </c>
      <c r="E64" t="inlineStr">
        <is>
          <t>weekly_3y</t>
        </is>
      </c>
      <c r="F64" t="inlineStr">
        <is>
          <t>W</t>
        </is>
      </c>
      <c r="G64" t="n">
        <v>156</v>
      </c>
      <c r="H64" t="n">
        <v>156</v>
      </c>
      <c r="I64" s="8" t="n">
        <v>0.7000687063845236</v>
      </c>
      <c r="J64" s="8" t="n">
        <v>0.1723006603029596</v>
      </c>
      <c r="K64" s="8" t="n">
        <v>4.063064559088626</v>
      </c>
      <c r="L64" s="9" t="n">
        <v>0.09681918631545439</v>
      </c>
      <c r="M64" s="8" t="n">
        <v>0.3596908095301352</v>
      </c>
      <c r="N64" s="8" t="n">
        <v>1.040446603238912</v>
      </c>
      <c r="O64" s="8" t="n">
        <v>0.6022411749825523</v>
      </c>
      <c r="P64" t="b">
        <v>1</v>
      </c>
    </row>
    <row r="65">
      <c r="A65" t="inlineStr">
        <is>
          <t>352480</t>
        </is>
      </c>
      <c r="B65" t="inlineStr">
        <is>
          <t>씨앤씨인터내셔널</t>
        </is>
      </c>
      <c r="C65" t="inlineStr">
        <is>
          <t>KOSDAQ</t>
        </is>
      </c>
      <c r="D65" t="inlineStr">
        <is>
          <t>KOSDAQ</t>
        </is>
      </c>
      <c r="E65" t="inlineStr">
        <is>
          <t>monthly_5y</t>
        </is>
      </c>
      <c r="F65" t="inlineStr">
        <is>
          <t>M</t>
        </is>
      </c>
      <c r="G65" t="n">
        <v>60</v>
      </c>
      <c r="H65" t="n">
        <v>60</v>
      </c>
      <c r="I65" s="8" t="n">
        <v>0.5880728681756497</v>
      </c>
      <c r="J65" s="8" t="n">
        <v>0.2959311705786876</v>
      </c>
      <c r="K65" s="8" t="n">
        <v>1.987194748784607</v>
      </c>
      <c r="L65" s="9" t="n">
        <v>0.06374512268167587</v>
      </c>
      <c r="M65" s="8" t="n">
        <v>-0.004297730075275452</v>
      </c>
      <c r="N65" s="8" t="n">
        <v>1.180443466426575</v>
      </c>
      <c r="O65" s="8" t="n">
        <v>0.4736930283686202</v>
      </c>
      <c r="P65" t="b">
        <v>1</v>
      </c>
    </row>
    <row r="66">
      <c r="A66" t="inlineStr">
        <is>
          <t>950140</t>
        </is>
      </c>
      <c r="B66" t="inlineStr">
        <is>
          <t>잉글우드랩</t>
        </is>
      </c>
      <c r="C66" t="inlineStr">
        <is>
          <t>KOSDAQ</t>
        </is>
      </c>
      <c r="D66" t="inlineStr">
        <is>
          <t>KOSPI (기본)</t>
        </is>
      </c>
      <c r="E66" t="inlineStr">
        <is>
          <t>daily_1y</t>
        </is>
      </c>
      <c r="F66" t="inlineStr">
        <is>
          <t>D</t>
        </is>
      </c>
      <c r="G66" t="n">
        <v>250</v>
      </c>
      <c r="H66" t="n">
        <v>250</v>
      </c>
      <c r="I66" s="8" t="n">
        <v>0.2187764773467551</v>
      </c>
      <c r="J66" s="8" t="n">
        <v>0.05714463369218104</v>
      </c>
      <c r="K66" s="8" t="n">
        <v>3.828469327937782</v>
      </c>
      <c r="L66" s="9" t="n">
        <v>0.05580345277570775</v>
      </c>
      <c r="M66" s="8" t="n">
        <v>0.1062257980912538</v>
      </c>
      <c r="N66" s="8" t="n">
        <v>0.3313271566022564</v>
      </c>
      <c r="O66" s="8" t="n">
        <v>0.08894962314160507</v>
      </c>
      <c r="P66" t="b">
        <v>1</v>
      </c>
    </row>
    <row r="67">
      <c r="A67" t="inlineStr">
        <is>
          <t>950140</t>
        </is>
      </c>
      <c r="B67" t="inlineStr">
        <is>
          <t>잉글우드랩</t>
        </is>
      </c>
      <c r="C67" t="inlineStr">
        <is>
          <t>KOSDAQ</t>
        </is>
      </c>
      <c r="D67" t="inlineStr">
        <is>
          <t>KOSPI (기본)</t>
        </is>
      </c>
      <c r="E67" t="inlineStr">
        <is>
          <t>weekly_2y</t>
        </is>
      </c>
      <c r="F67" t="inlineStr">
        <is>
          <t>W</t>
        </is>
      </c>
      <c r="G67" t="n">
        <v>104</v>
      </c>
      <c r="H67" t="n">
        <v>104</v>
      </c>
      <c r="I67" s="8" t="n">
        <v>0.08282237960941011</v>
      </c>
      <c r="J67" s="8" t="n">
        <v>0.2053541389542096</v>
      </c>
      <c r="K67" s="8" t="n">
        <v>0.4033148785371112</v>
      </c>
      <c r="L67" s="9" t="n">
        <v>0.001592195099911708</v>
      </c>
      <c r="M67" s="8" t="n">
        <v>-0.3244965813325273</v>
      </c>
      <c r="N67" s="8" t="n">
        <v>0.4901413405513475</v>
      </c>
      <c r="O67" s="8" t="n">
        <v>-0.03042708845133044</v>
      </c>
      <c r="P67" t="b">
        <v>1</v>
      </c>
    </row>
    <row r="68">
      <c r="A68" t="inlineStr">
        <is>
          <t>950140</t>
        </is>
      </c>
      <c r="B68" t="inlineStr">
        <is>
          <t>잉글우드랩</t>
        </is>
      </c>
      <c r="C68" t="inlineStr">
        <is>
          <t>KOSDAQ</t>
        </is>
      </c>
      <c r="D68" t="inlineStr">
        <is>
          <t>KOSPI (기본)</t>
        </is>
      </c>
      <c r="E68" t="inlineStr">
        <is>
          <t>weekly_3y</t>
        </is>
      </c>
      <c r="F68" t="inlineStr">
        <is>
          <t>W</t>
        </is>
      </c>
      <c r="G68" t="n">
        <v>156</v>
      </c>
      <c r="H68" t="n">
        <v>156</v>
      </c>
      <c r="I68" s="8" t="n">
        <v>0.04274986363643878</v>
      </c>
      <c r="J68" s="8" t="n">
        <v>0.1970415918810131</v>
      </c>
      <c r="K68" s="8" t="n">
        <v>0.2169585782795239</v>
      </c>
      <c r="L68" s="9" t="n">
        <v>0.0003055626074288664</v>
      </c>
      <c r="M68" s="8" t="n">
        <v>-0.3465034480999872</v>
      </c>
      <c r="N68" s="8" t="n">
        <v>0.4320031753728648</v>
      </c>
      <c r="O68" s="8" t="n">
        <v>-0.1058370008804678</v>
      </c>
      <c r="P68" t="b">
        <v>1</v>
      </c>
    </row>
    <row r="69">
      <c r="A69" t="inlineStr">
        <is>
          <t>950140</t>
        </is>
      </c>
      <c r="B69" t="inlineStr">
        <is>
          <t>잉글우드랩</t>
        </is>
      </c>
      <c r="C69" t="inlineStr">
        <is>
          <t>KOSDAQ</t>
        </is>
      </c>
      <c r="D69" t="inlineStr">
        <is>
          <t>KOSPI (기본)</t>
        </is>
      </c>
      <c r="E69" t="inlineStr">
        <is>
          <t>monthly_5y</t>
        </is>
      </c>
      <c r="F69" t="inlineStr">
        <is>
          <t>M</t>
        </is>
      </c>
      <c r="G69" t="n">
        <v>60</v>
      </c>
      <c r="H69" t="n">
        <v>60</v>
      </c>
      <c r="I69" s="8" t="n">
        <v>0.1235460073018298</v>
      </c>
      <c r="J69" s="8" t="n">
        <v>0.2757953798282968</v>
      </c>
      <c r="K69" s="8" t="n">
        <v>0.4479625705794868</v>
      </c>
      <c r="L69" s="9" t="n">
        <v>0.003447906407918255</v>
      </c>
      <c r="M69" s="8" t="n">
        <v>-0.4285184265469482</v>
      </c>
      <c r="N69" s="8" t="n">
        <v>0.6756104411506076</v>
      </c>
      <c r="O69" s="8" t="n">
        <v>0.04745792470442339</v>
      </c>
      <c r="P69" t="b">
        <v>1</v>
      </c>
    </row>
    <row r="70">
      <c r="A70" t="inlineStr">
        <is>
          <t>950140</t>
        </is>
      </c>
      <c r="B70" t="inlineStr">
        <is>
          <t>잉글우드랩</t>
        </is>
      </c>
      <c r="C70" t="inlineStr">
        <is>
          <t>KOSDAQ</t>
        </is>
      </c>
      <c r="D70" t="inlineStr">
        <is>
          <t>상장시장 지수 (KOSPI/KOSDAQ)</t>
        </is>
      </c>
      <c r="E70" t="inlineStr">
        <is>
          <t>daily_1y</t>
        </is>
      </c>
      <c r="F70" t="inlineStr">
        <is>
          <t>D</t>
        </is>
      </c>
      <c r="G70" t="n">
        <v>250</v>
      </c>
      <c r="H70" t="n">
        <v>250</v>
      </c>
      <c r="I70" s="8" t="n">
        <v>0.4707357956111337</v>
      </c>
      <c r="J70" s="8" t="n">
        <v>0.05921917600297149</v>
      </c>
      <c r="K70" s="8" t="n">
        <v>7.949043323188306</v>
      </c>
      <c r="L70" s="9" t="n">
        <v>0.2030522834139232</v>
      </c>
      <c r="M70" s="8" t="n">
        <v>0.3540991483278823</v>
      </c>
      <c r="N70" s="8" t="n">
        <v>0.5873724428943849</v>
      </c>
      <c r="O70" s="8" t="n">
        <v>0.455447876168489</v>
      </c>
      <c r="P70" t="b">
        <v>1</v>
      </c>
    </row>
    <row r="71">
      <c r="A71" t="inlineStr">
        <is>
          <t>950140</t>
        </is>
      </c>
      <c r="B71" t="inlineStr">
        <is>
          <t>잉글우드랩</t>
        </is>
      </c>
      <c r="C71" t="inlineStr">
        <is>
          <t>KOSDAQ</t>
        </is>
      </c>
      <c r="D71" t="inlineStr">
        <is>
          <t>상장시장 지수 (KOSPI/KOSDAQ)</t>
        </is>
      </c>
      <c r="E71" t="inlineStr">
        <is>
          <t>weekly_2y</t>
        </is>
      </c>
      <c r="F71" t="inlineStr">
        <is>
          <t>W</t>
        </is>
      </c>
      <c r="G71" t="n">
        <v>104</v>
      </c>
      <c r="H71" t="n">
        <v>104</v>
      </c>
      <c r="I71" s="8" t="n">
        <v>0.8423390837242479</v>
      </c>
      <c r="J71" s="8" t="n">
        <v>0.1965112390586025</v>
      </c>
      <c r="K71" s="8" t="n">
        <v>4.28646772449005</v>
      </c>
      <c r="L71" s="9" t="n">
        <v>0.15263956696119</v>
      </c>
      <c r="M71" s="8" t="n">
        <v>0.4525599727971935</v>
      </c>
      <c r="N71" s="8" t="n">
        <v>1.232118194651302</v>
      </c>
      <c r="O71" s="8" t="n">
        <v>0.8577839542970176</v>
      </c>
      <c r="P71" t="b">
        <v>1</v>
      </c>
    </row>
    <row r="72">
      <c r="A72" t="inlineStr">
        <is>
          <t>950140</t>
        </is>
      </c>
      <c r="B72" t="inlineStr">
        <is>
          <t>잉글우드랩</t>
        </is>
      </c>
      <c r="C72" t="inlineStr">
        <is>
          <t>KOSDAQ</t>
        </is>
      </c>
      <c r="D72" t="inlineStr">
        <is>
          <t>상장시장 지수 (KOSPI/KOSDAQ)</t>
        </is>
      </c>
      <c r="E72" t="inlineStr">
        <is>
          <t>weekly_3y</t>
        </is>
      </c>
      <c r="F72" t="inlineStr">
        <is>
          <t>W</t>
        </is>
      </c>
      <c r="G72" t="n">
        <v>156</v>
      </c>
      <c r="H72" t="n">
        <v>156</v>
      </c>
      <c r="I72" s="8" t="n">
        <v>0.78273928421771</v>
      </c>
      <c r="J72" s="8" t="n">
        <v>0.1913082992505492</v>
      </c>
      <c r="K72" s="8" t="n">
        <v>4.09150720216579</v>
      </c>
      <c r="L72" s="9" t="n">
        <v>0.09804608708759366</v>
      </c>
      <c r="M72" s="8" t="n">
        <v>0.4048120236071285</v>
      </c>
      <c r="N72" s="8" t="n">
        <v>1.160666544828291</v>
      </c>
      <c r="O72" s="8" t="n">
        <v>0.7001056047673919</v>
      </c>
      <c r="P72" t="b">
        <v>1</v>
      </c>
    </row>
    <row r="73">
      <c r="A73" t="inlineStr">
        <is>
          <t>950140</t>
        </is>
      </c>
      <c r="B73" t="inlineStr">
        <is>
          <t>잉글우드랩</t>
        </is>
      </c>
      <c r="C73" t="inlineStr">
        <is>
          <t>KOSDAQ</t>
        </is>
      </c>
      <c r="D73" t="inlineStr">
        <is>
          <t>상장시장 지수 (KOSPI/KOSDAQ)</t>
        </is>
      </c>
      <c r="E73" t="inlineStr">
        <is>
          <t>monthly_5y</t>
        </is>
      </c>
      <c r="F73" t="inlineStr">
        <is>
          <t>M</t>
        </is>
      </c>
      <c r="G73" t="n">
        <v>60</v>
      </c>
      <c r="H73" t="n">
        <v>60</v>
      </c>
      <c r="I73" s="8" t="n">
        <v>0.5158959439624388</v>
      </c>
      <c r="J73" s="8" t="n">
        <v>0.3023002337978812</v>
      </c>
      <c r="K73" s="8" t="n">
        <v>1.706568127589899</v>
      </c>
      <c r="L73" s="9" t="n">
        <v>0.04781253045717326</v>
      </c>
      <c r="M73" s="8" t="n">
        <v>-0.08922371949197261</v>
      </c>
      <c r="N73" s="8" t="n">
        <v>1.12101560741685</v>
      </c>
      <c r="O73" s="8" t="n">
        <v>0.5037470122757773</v>
      </c>
      <c r="P73" t="b">
        <v>1</v>
      </c>
    </row>
    <row r="74">
      <c r="A74" t="inlineStr">
        <is>
          <t>950140</t>
        </is>
      </c>
      <c r="B74" t="inlineStr">
        <is>
          <t>잉글우드랩</t>
        </is>
      </c>
      <c r="C74" t="inlineStr">
        <is>
          <t>KOSDAQ</t>
        </is>
      </c>
      <c r="D74" t="inlineStr">
        <is>
          <t>KOSPI 반도체 제외</t>
        </is>
      </c>
      <c r="E74" t="inlineStr">
        <is>
          <t>daily_1y</t>
        </is>
      </c>
      <c r="F74" t="inlineStr">
        <is>
          <t>D</t>
        </is>
      </c>
      <c r="G74" t="n">
        <v>250</v>
      </c>
      <c r="H74" t="n">
        <v>250</v>
      </c>
      <c r="I74" s="8" t="n">
        <v>0.4425429105556865</v>
      </c>
      <c r="J74" s="8" t="n">
        <v>0.07690143239018986</v>
      </c>
      <c r="K74" s="8" t="n">
        <v>5.754677082089574</v>
      </c>
      <c r="L74" s="9" t="n">
        <v>0.1178028714062824</v>
      </c>
      <c r="M74" s="8" t="n">
        <v>0.2910797215909953</v>
      </c>
      <c r="N74" s="8" t="n">
        <v>0.5940060995203776</v>
      </c>
      <c r="O74" s="8" t="n">
        <v>0.3507251186090711</v>
      </c>
      <c r="P74" t="b">
        <v>1</v>
      </c>
    </row>
    <row r="75">
      <c r="A75" t="inlineStr">
        <is>
          <t>950140</t>
        </is>
      </c>
      <c r="B75" t="inlineStr">
        <is>
          <t>잉글우드랩</t>
        </is>
      </c>
      <c r="C75" t="inlineStr">
        <is>
          <t>KOSDAQ</t>
        </is>
      </c>
      <c r="D75" t="inlineStr">
        <is>
          <t>KOSPI 반도체 제외</t>
        </is>
      </c>
      <c r="E75" t="inlineStr">
        <is>
          <t>weekly_2y</t>
        </is>
      </c>
      <c r="F75" t="inlineStr">
        <is>
          <t>W</t>
        </is>
      </c>
      <c r="G75" t="n">
        <v>104</v>
      </c>
      <c r="H75" t="n">
        <v>104</v>
      </c>
      <c r="I75" s="8" t="n">
        <v>0.6330552635394427</v>
      </c>
      <c r="J75" s="8" t="n">
        <v>0.244577079029845</v>
      </c>
      <c r="K75" s="8" t="n">
        <v>2.58836709494839</v>
      </c>
      <c r="L75" s="9" t="n">
        <v>0.06163446317047927</v>
      </c>
      <c r="M75" s="8" t="n">
        <v>0.1479377869305865</v>
      </c>
      <c r="N75" s="8" t="n">
        <v>1.118172740148299</v>
      </c>
      <c r="O75" s="8" t="n">
        <v>0.3567522397410997</v>
      </c>
      <c r="P75" t="b">
        <v>1</v>
      </c>
    </row>
    <row r="76">
      <c r="A76" t="inlineStr">
        <is>
          <t>950140</t>
        </is>
      </c>
      <c r="B76" t="inlineStr">
        <is>
          <t>잉글우드랩</t>
        </is>
      </c>
      <c r="C76" t="inlineStr">
        <is>
          <t>KOSDAQ</t>
        </is>
      </c>
      <c r="D76" t="inlineStr">
        <is>
          <t>KOSPI 반도체 제외</t>
        </is>
      </c>
      <c r="E76" t="inlineStr">
        <is>
          <t>weekly_3y</t>
        </is>
      </c>
      <c r="F76" t="inlineStr">
        <is>
          <t>W</t>
        </is>
      </c>
      <c r="G76" t="n">
        <v>156</v>
      </c>
      <c r="H76" t="n">
        <v>156</v>
      </c>
      <c r="I76" s="8" t="n">
        <v>0.4959092072989804</v>
      </c>
      <c r="J76" s="8" t="n">
        <v>0.2318427064347212</v>
      </c>
      <c r="K76" s="8" t="n">
        <v>2.138989899337683</v>
      </c>
      <c r="L76" s="9" t="n">
        <v>0.02885240280356272</v>
      </c>
      <c r="M76" s="8" t="n">
        <v>0.03790670934845886</v>
      </c>
      <c r="N76" s="8" t="n">
        <v>0.953911705249502</v>
      </c>
      <c r="O76" s="8" t="n">
        <v>0.08750456351289337</v>
      </c>
      <c r="P76" t="b">
        <v>1</v>
      </c>
    </row>
    <row r="77">
      <c r="A77" t="inlineStr">
        <is>
          <t>950140</t>
        </is>
      </c>
      <c r="B77" t="inlineStr">
        <is>
          <t>잉글우드랩</t>
        </is>
      </c>
      <c r="C77" t="inlineStr">
        <is>
          <t>KOSDAQ</t>
        </is>
      </c>
      <c r="D77" t="inlineStr">
        <is>
          <t>KOSPI 반도체 제외</t>
        </is>
      </c>
      <c r="E77" t="inlineStr">
        <is>
          <t>monthly_5y</t>
        </is>
      </c>
      <c r="F77" t="inlineStr">
        <is>
          <t>M</t>
        </is>
      </c>
      <c r="G77" t="n">
        <v>60</v>
      </c>
      <c r="H77" t="n">
        <v>60</v>
      </c>
      <c r="I77" s="8" t="n">
        <v>0.3268925971558141</v>
      </c>
      <c r="J77" s="8" t="n">
        <v>0.3434025603316008</v>
      </c>
      <c r="K77" s="8" t="n">
        <v>0.9519224225939256</v>
      </c>
      <c r="L77" s="9" t="n">
        <v>0.01538304916795341</v>
      </c>
      <c r="M77" s="8" t="n">
        <v>-0.3605023119601903</v>
      </c>
      <c r="N77" s="8" t="n">
        <v>1.014287506271819</v>
      </c>
      <c r="O77" s="8" t="n">
        <v>0.4560904202610342</v>
      </c>
      <c r="P77" t="b">
        <v>1</v>
      </c>
    </row>
    <row r="78">
      <c r="A78" t="inlineStr">
        <is>
          <t>950140</t>
        </is>
      </c>
      <c r="B78" t="inlineStr">
        <is>
          <t>잉글우드랩</t>
        </is>
      </c>
      <c r="C78" t="inlineStr">
        <is>
          <t>KOSDAQ</t>
        </is>
      </c>
      <c r="D78" t="inlineStr">
        <is>
          <t>KOSDAQ</t>
        </is>
      </c>
      <c r="E78" t="inlineStr">
        <is>
          <t>daily_1y</t>
        </is>
      </c>
      <c r="F78" t="inlineStr">
        <is>
          <t>D</t>
        </is>
      </c>
      <c r="G78" t="n">
        <v>250</v>
      </c>
      <c r="H78" t="n">
        <v>250</v>
      </c>
      <c r="I78" s="8" t="n">
        <v>0.4707357956111337</v>
      </c>
      <c r="J78" s="8" t="n">
        <v>0.05921917600297149</v>
      </c>
      <c r="K78" s="8" t="n">
        <v>7.949043323188306</v>
      </c>
      <c r="L78" s="9" t="n">
        <v>0.2030522834139232</v>
      </c>
      <c r="M78" s="8" t="n">
        <v>0.3540991483278823</v>
      </c>
      <c r="N78" s="8" t="n">
        <v>0.5873724428943849</v>
      </c>
      <c r="O78" s="8" t="n">
        <v>0.455447876168489</v>
      </c>
      <c r="P78" t="b">
        <v>1</v>
      </c>
    </row>
    <row r="79">
      <c r="A79" t="inlineStr">
        <is>
          <t>950140</t>
        </is>
      </c>
      <c r="B79" t="inlineStr">
        <is>
          <t>잉글우드랩</t>
        </is>
      </c>
      <c r="C79" t="inlineStr">
        <is>
          <t>KOSDAQ</t>
        </is>
      </c>
      <c r="D79" t="inlineStr">
        <is>
          <t>KOSDAQ</t>
        </is>
      </c>
      <c r="E79" t="inlineStr">
        <is>
          <t>weekly_2y</t>
        </is>
      </c>
      <c r="F79" t="inlineStr">
        <is>
          <t>W</t>
        </is>
      </c>
      <c r="G79" t="n">
        <v>104</v>
      </c>
      <c r="H79" t="n">
        <v>104</v>
      </c>
      <c r="I79" s="8" t="n">
        <v>0.8423390837242479</v>
      </c>
      <c r="J79" s="8" t="n">
        <v>0.1965112390586025</v>
      </c>
      <c r="K79" s="8" t="n">
        <v>4.28646772449005</v>
      </c>
      <c r="L79" s="9" t="n">
        <v>0.15263956696119</v>
      </c>
      <c r="M79" s="8" t="n">
        <v>0.4525599727971935</v>
      </c>
      <c r="N79" s="8" t="n">
        <v>1.232118194651302</v>
      </c>
      <c r="O79" s="8" t="n">
        <v>0.8577839542970176</v>
      </c>
      <c r="P79" t="b">
        <v>1</v>
      </c>
    </row>
    <row r="80">
      <c r="A80" t="inlineStr">
        <is>
          <t>950140</t>
        </is>
      </c>
      <c r="B80" t="inlineStr">
        <is>
          <t>잉글우드랩</t>
        </is>
      </c>
      <c r="C80" t="inlineStr">
        <is>
          <t>KOSDAQ</t>
        </is>
      </c>
      <c r="D80" t="inlineStr">
        <is>
          <t>KOSDAQ</t>
        </is>
      </c>
      <c r="E80" t="inlineStr">
        <is>
          <t>weekly_3y</t>
        </is>
      </c>
      <c r="F80" t="inlineStr">
        <is>
          <t>W</t>
        </is>
      </c>
      <c r="G80" t="n">
        <v>156</v>
      </c>
      <c r="H80" t="n">
        <v>156</v>
      </c>
      <c r="I80" s="8" t="n">
        <v>0.78273928421771</v>
      </c>
      <c r="J80" s="8" t="n">
        <v>0.1913082992505492</v>
      </c>
      <c r="K80" s="8" t="n">
        <v>4.09150720216579</v>
      </c>
      <c r="L80" s="9" t="n">
        <v>0.09804608708759366</v>
      </c>
      <c r="M80" s="8" t="n">
        <v>0.4048120236071285</v>
      </c>
      <c r="N80" s="8" t="n">
        <v>1.160666544828291</v>
      </c>
      <c r="O80" s="8" t="n">
        <v>0.7001056047673919</v>
      </c>
      <c r="P80" t="b">
        <v>1</v>
      </c>
    </row>
    <row r="81">
      <c r="A81" t="inlineStr">
        <is>
          <t>950140</t>
        </is>
      </c>
      <c r="B81" t="inlineStr">
        <is>
          <t>잉글우드랩</t>
        </is>
      </c>
      <c r="C81" t="inlineStr">
        <is>
          <t>KOSDAQ</t>
        </is>
      </c>
      <c r="D81" t="inlineStr">
        <is>
          <t>KOSDAQ</t>
        </is>
      </c>
      <c r="E81" t="inlineStr">
        <is>
          <t>monthly_5y</t>
        </is>
      </c>
      <c r="F81" t="inlineStr">
        <is>
          <t>M</t>
        </is>
      </c>
      <c r="G81" t="n">
        <v>60</v>
      </c>
      <c r="H81" t="n">
        <v>60</v>
      </c>
      <c r="I81" s="8" t="n">
        <v>0.5158959439624388</v>
      </c>
      <c r="J81" s="8" t="n">
        <v>0.3023002337978812</v>
      </c>
      <c r="K81" s="8" t="n">
        <v>1.706568127589899</v>
      </c>
      <c r="L81" s="9" t="n">
        <v>0.04781253045717326</v>
      </c>
      <c r="M81" s="8" t="n">
        <v>-0.08922371949197261</v>
      </c>
      <c r="N81" s="8" t="n">
        <v>1.12101560741685</v>
      </c>
      <c r="O81" s="8" t="n">
        <v>0.5037470122757773</v>
      </c>
      <c r="P81" t="b">
        <v>1</v>
      </c>
    </row>
    <row r="82">
      <c r="A82" t="inlineStr">
        <is>
          <t>003350</t>
        </is>
      </c>
      <c r="B82" t="inlineStr">
        <is>
          <t>한국화장품제조</t>
        </is>
      </c>
      <c r="C82" t="inlineStr">
        <is>
          <t>KOSPI</t>
        </is>
      </c>
      <c r="D82" t="inlineStr">
        <is>
          <t>KOSPI (기본)</t>
        </is>
      </c>
      <c r="E82" t="inlineStr">
        <is>
          <t>daily_1y</t>
        </is>
      </c>
      <c r="F82" t="inlineStr">
        <is>
          <t>D</t>
        </is>
      </c>
      <c r="G82" t="n">
        <v>250</v>
      </c>
      <c r="H82" t="n">
        <v>250</v>
      </c>
      <c r="I82" s="8" t="n">
        <v>0.3077871242343279</v>
      </c>
      <c r="J82" s="8" t="n">
        <v>0.07167409550192602</v>
      </c>
      <c r="K82" s="8" t="n">
        <v>4.294258924077487</v>
      </c>
      <c r="L82" s="9" t="n">
        <v>0.06921113214213148</v>
      </c>
      <c r="M82" s="8" t="n">
        <v>0.1666195707380627</v>
      </c>
      <c r="N82" s="8" t="n">
        <v>0.4489546777305929</v>
      </c>
      <c r="O82" s="8" t="n">
        <v>0.2430564968206554</v>
      </c>
      <c r="P82" t="b">
        <v>1</v>
      </c>
    </row>
    <row r="83">
      <c r="A83" t="inlineStr">
        <is>
          <t>003350</t>
        </is>
      </c>
      <c r="B83" t="inlineStr">
        <is>
          <t>한국화장품제조</t>
        </is>
      </c>
      <c r="C83" t="inlineStr">
        <is>
          <t>KOSPI</t>
        </is>
      </c>
      <c r="D83" t="inlineStr">
        <is>
          <t>KOSPI (기본)</t>
        </is>
      </c>
      <c r="E83" t="inlineStr">
        <is>
          <t>weekly_2y</t>
        </is>
      </c>
      <c r="F83" t="inlineStr">
        <is>
          <t>W</t>
        </is>
      </c>
      <c r="G83" t="n">
        <v>104</v>
      </c>
      <c r="H83" t="n">
        <v>104</v>
      </c>
      <c r="I83" s="8" t="n">
        <v>0.4036453607979397</v>
      </c>
      <c r="J83" s="8" t="n">
        <v>0.1948925306385077</v>
      </c>
      <c r="K83" s="8" t="n">
        <v>2.071117653793684</v>
      </c>
      <c r="L83" s="9" t="n">
        <v>0.04035701731878716</v>
      </c>
      <c r="M83" s="8" t="n">
        <v>0.01707695034713896</v>
      </c>
      <c r="N83" s="8" t="n">
        <v>0.7902137712487404</v>
      </c>
      <c r="O83" s="8" t="n">
        <v>0.01583056747356193</v>
      </c>
      <c r="P83" t="b">
        <v>1</v>
      </c>
    </row>
    <row r="84">
      <c r="A84" t="inlineStr">
        <is>
          <t>003350</t>
        </is>
      </c>
      <c r="B84" t="inlineStr">
        <is>
          <t>한국화장품제조</t>
        </is>
      </c>
      <c r="C84" t="inlineStr">
        <is>
          <t>KOSPI</t>
        </is>
      </c>
      <c r="D84" t="inlineStr">
        <is>
          <t>KOSPI (기본)</t>
        </is>
      </c>
      <c r="E84" t="inlineStr">
        <is>
          <t>weekly_3y</t>
        </is>
      </c>
      <c r="F84" t="inlineStr">
        <is>
          <t>W</t>
        </is>
      </c>
      <c r="G84" t="n">
        <v>156</v>
      </c>
      <c r="H84" t="n">
        <v>156</v>
      </c>
      <c r="I84" s="8" t="n">
        <v>0.2761652419092849</v>
      </c>
      <c r="J84" s="8" t="n">
        <v>0.1877492659961536</v>
      </c>
      <c r="K84" s="8" t="n">
        <v>1.470925813978642</v>
      </c>
      <c r="L84" s="9" t="n">
        <v>0.01385484475913645</v>
      </c>
      <c r="M84" s="8" t="n">
        <v>-0.09473119100837935</v>
      </c>
      <c r="N84" s="8" t="n">
        <v>0.6470616748269491</v>
      </c>
      <c r="O84" s="8" t="n">
        <v>-0.09070836615393363</v>
      </c>
      <c r="P84" t="b">
        <v>1</v>
      </c>
    </row>
    <row r="85">
      <c r="A85" t="inlineStr">
        <is>
          <t>003350</t>
        </is>
      </c>
      <c r="B85" t="inlineStr">
        <is>
          <t>한국화장품제조</t>
        </is>
      </c>
      <c r="C85" t="inlineStr">
        <is>
          <t>KOSPI</t>
        </is>
      </c>
      <c r="D85" t="inlineStr">
        <is>
          <t>KOSPI (기본)</t>
        </is>
      </c>
      <c r="E85" t="inlineStr">
        <is>
          <t>monthly_5y</t>
        </is>
      </c>
      <c r="F85" t="inlineStr">
        <is>
          <t>M</t>
        </is>
      </c>
      <c r="G85" t="n">
        <v>60</v>
      </c>
      <c r="H85" t="n">
        <v>60</v>
      </c>
      <c r="I85" s="8" t="n">
        <v>0.1776317306826796</v>
      </c>
      <c r="J85" s="8" t="n">
        <v>0.2934942641352627</v>
      </c>
      <c r="K85" s="8" t="n">
        <v>0.6052306719044241</v>
      </c>
      <c r="L85" s="9" t="n">
        <v>0.006275952734144941</v>
      </c>
      <c r="M85" s="8" t="n">
        <v>-0.4098608693332157</v>
      </c>
      <c r="N85" s="8" t="n">
        <v>0.7651243306985749</v>
      </c>
      <c r="O85" s="8" t="n">
        <v>-0.5864441500642952</v>
      </c>
      <c r="P85" t="b">
        <v>1</v>
      </c>
    </row>
    <row r="86">
      <c r="A86" t="inlineStr">
        <is>
          <t>003350</t>
        </is>
      </c>
      <c r="B86" t="inlineStr">
        <is>
          <t>한국화장품제조</t>
        </is>
      </c>
      <c r="C86" t="inlineStr">
        <is>
          <t>KOSPI</t>
        </is>
      </c>
      <c r="D86" t="inlineStr">
        <is>
          <t>상장시장 지수 (KOSPI/KOSDAQ)</t>
        </is>
      </c>
      <c r="E86" t="inlineStr">
        <is>
          <t>daily_1y</t>
        </is>
      </c>
      <c r="F86" t="inlineStr">
        <is>
          <t>D</t>
        </is>
      </c>
      <c r="G86" t="n">
        <v>250</v>
      </c>
      <c r="H86" t="n">
        <v>250</v>
      </c>
      <c r="I86" s="8" t="n">
        <v>0.3077871242343279</v>
      </c>
      <c r="J86" s="8" t="n">
        <v>0.07167409550192602</v>
      </c>
      <c r="K86" s="8" t="n">
        <v>4.294258924077487</v>
      </c>
      <c r="L86" s="9" t="n">
        <v>0.06921113214213148</v>
      </c>
      <c r="M86" s="8" t="n">
        <v>0.1666195707380627</v>
      </c>
      <c r="N86" s="8" t="n">
        <v>0.4489546777305929</v>
      </c>
      <c r="O86" s="8" t="n">
        <v>0.2430564968206554</v>
      </c>
      <c r="P86" t="b">
        <v>1</v>
      </c>
    </row>
    <row r="87">
      <c r="A87" t="inlineStr">
        <is>
          <t>003350</t>
        </is>
      </c>
      <c r="B87" t="inlineStr">
        <is>
          <t>한국화장품제조</t>
        </is>
      </c>
      <c r="C87" t="inlineStr">
        <is>
          <t>KOSPI</t>
        </is>
      </c>
      <c r="D87" t="inlineStr">
        <is>
          <t>상장시장 지수 (KOSPI/KOSDAQ)</t>
        </is>
      </c>
      <c r="E87" t="inlineStr">
        <is>
          <t>weekly_2y</t>
        </is>
      </c>
      <c r="F87" t="inlineStr">
        <is>
          <t>W</t>
        </is>
      </c>
      <c r="G87" t="n">
        <v>104</v>
      </c>
      <c r="H87" t="n">
        <v>104</v>
      </c>
      <c r="I87" s="8" t="n">
        <v>0.4036453607979397</v>
      </c>
      <c r="J87" s="8" t="n">
        <v>0.1948925306385077</v>
      </c>
      <c r="K87" s="8" t="n">
        <v>2.071117653793684</v>
      </c>
      <c r="L87" s="9" t="n">
        <v>0.04035701731878716</v>
      </c>
      <c r="M87" s="8" t="n">
        <v>0.01707695034713896</v>
      </c>
      <c r="N87" s="8" t="n">
        <v>0.7902137712487404</v>
      </c>
      <c r="O87" s="8" t="n">
        <v>0.01583056747356193</v>
      </c>
      <c r="P87" t="b">
        <v>1</v>
      </c>
    </row>
    <row r="88">
      <c r="A88" t="inlineStr">
        <is>
          <t>003350</t>
        </is>
      </c>
      <c r="B88" t="inlineStr">
        <is>
          <t>한국화장품제조</t>
        </is>
      </c>
      <c r="C88" t="inlineStr">
        <is>
          <t>KOSPI</t>
        </is>
      </c>
      <c r="D88" t="inlineStr">
        <is>
          <t>상장시장 지수 (KOSPI/KOSDAQ)</t>
        </is>
      </c>
      <c r="E88" t="inlineStr">
        <is>
          <t>weekly_3y</t>
        </is>
      </c>
      <c r="F88" t="inlineStr">
        <is>
          <t>W</t>
        </is>
      </c>
      <c r="G88" t="n">
        <v>156</v>
      </c>
      <c r="H88" t="n">
        <v>156</v>
      </c>
      <c r="I88" s="8" t="n">
        <v>0.2761652419092849</v>
      </c>
      <c r="J88" s="8" t="n">
        <v>0.1877492659961536</v>
      </c>
      <c r="K88" s="8" t="n">
        <v>1.470925813978642</v>
      </c>
      <c r="L88" s="9" t="n">
        <v>0.01385484475913645</v>
      </c>
      <c r="M88" s="8" t="n">
        <v>-0.09473119100837935</v>
      </c>
      <c r="N88" s="8" t="n">
        <v>0.6470616748269491</v>
      </c>
      <c r="O88" s="8" t="n">
        <v>-0.09070836615393363</v>
      </c>
      <c r="P88" t="b">
        <v>1</v>
      </c>
    </row>
    <row r="89">
      <c r="A89" t="inlineStr">
        <is>
          <t>003350</t>
        </is>
      </c>
      <c r="B89" t="inlineStr">
        <is>
          <t>한국화장품제조</t>
        </is>
      </c>
      <c r="C89" t="inlineStr">
        <is>
          <t>KOSPI</t>
        </is>
      </c>
      <c r="D89" t="inlineStr">
        <is>
          <t>상장시장 지수 (KOSPI/KOSDAQ)</t>
        </is>
      </c>
      <c r="E89" t="inlineStr">
        <is>
          <t>monthly_5y</t>
        </is>
      </c>
      <c r="F89" t="inlineStr">
        <is>
          <t>M</t>
        </is>
      </c>
      <c r="G89" t="n">
        <v>60</v>
      </c>
      <c r="H89" t="n">
        <v>60</v>
      </c>
      <c r="I89" s="8" t="n">
        <v>0.1776317306826796</v>
      </c>
      <c r="J89" s="8" t="n">
        <v>0.2934942641352627</v>
      </c>
      <c r="K89" s="8" t="n">
        <v>0.6052306719044241</v>
      </c>
      <c r="L89" s="9" t="n">
        <v>0.006275952734144941</v>
      </c>
      <c r="M89" s="8" t="n">
        <v>-0.4098608693332157</v>
      </c>
      <c r="N89" s="8" t="n">
        <v>0.7651243306985749</v>
      </c>
      <c r="O89" s="8" t="n">
        <v>-0.5864441500642952</v>
      </c>
      <c r="P89" t="b">
        <v>1</v>
      </c>
    </row>
    <row r="90">
      <c r="A90" t="inlineStr">
        <is>
          <t>003350</t>
        </is>
      </c>
      <c r="B90" t="inlineStr">
        <is>
          <t>한국화장품제조</t>
        </is>
      </c>
      <c r="C90" t="inlineStr">
        <is>
          <t>KOSPI</t>
        </is>
      </c>
      <c r="D90" t="inlineStr">
        <is>
          <t>KOSPI 반도체 제외</t>
        </is>
      </c>
      <c r="E90" t="inlineStr">
        <is>
          <t>daily_1y</t>
        </is>
      </c>
      <c r="F90" t="inlineStr">
        <is>
          <t>D</t>
        </is>
      </c>
      <c r="G90" t="n">
        <v>250</v>
      </c>
      <c r="H90" t="n">
        <v>250</v>
      </c>
      <c r="I90" s="8" t="n">
        <v>0.6288728769328824</v>
      </c>
      <c r="J90" s="8" t="n">
        <v>0.0954094242430541</v>
      </c>
      <c r="K90" s="8" t="n">
        <v>6.591307744723813</v>
      </c>
      <c r="L90" s="9" t="n">
        <v>0.1490685633050273</v>
      </c>
      <c r="M90" s="8" t="n">
        <v>0.4409567978172797</v>
      </c>
      <c r="N90" s="8" t="n">
        <v>0.8167889560484851</v>
      </c>
      <c r="O90" s="8" t="n">
        <v>0.6141696318605028</v>
      </c>
      <c r="P90" t="b">
        <v>1</v>
      </c>
    </row>
    <row r="91">
      <c r="A91" t="inlineStr">
        <is>
          <t>003350</t>
        </is>
      </c>
      <c r="B91" t="inlineStr">
        <is>
          <t>한국화장품제조</t>
        </is>
      </c>
      <c r="C91" t="inlineStr">
        <is>
          <t>KOSPI</t>
        </is>
      </c>
      <c r="D91" t="inlineStr">
        <is>
          <t>KOSPI 반도체 제외</t>
        </is>
      </c>
      <c r="E91" t="inlineStr">
        <is>
          <t>weekly_2y</t>
        </is>
      </c>
      <c r="F91" t="inlineStr">
        <is>
          <t>W</t>
        </is>
      </c>
      <c r="G91" t="n">
        <v>104</v>
      </c>
      <c r="H91" t="n">
        <v>104</v>
      </c>
      <c r="I91" s="8" t="n">
        <v>0.9077286196389731</v>
      </c>
      <c r="J91" s="8" t="n">
        <v>0.2272851669790536</v>
      </c>
      <c r="K91" s="8" t="n">
        <v>3.993787327628946</v>
      </c>
      <c r="L91" s="9" t="n">
        <v>0.1352292633873952</v>
      </c>
      <c r="M91" s="8" t="n">
        <v>0.4569095685943481</v>
      </c>
      <c r="N91" s="8" t="n">
        <v>1.358547670683598</v>
      </c>
      <c r="O91" s="8" t="n">
        <v>0.2326203666199373</v>
      </c>
      <c r="P91" t="b">
        <v>1</v>
      </c>
    </row>
    <row r="92">
      <c r="A92" t="inlineStr">
        <is>
          <t>003350</t>
        </is>
      </c>
      <c r="B92" t="inlineStr">
        <is>
          <t>한국화장품제조</t>
        </is>
      </c>
      <c r="C92" t="inlineStr">
        <is>
          <t>KOSPI</t>
        </is>
      </c>
      <c r="D92" t="inlineStr">
        <is>
          <t>KOSPI 반도체 제외</t>
        </is>
      </c>
      <c r="E92" t="inlineStr">
        <is>
          <t>weekly_3y</t>
        </is>
      </c>
      <c r="F92" t="inlineStr">
        <is>
          <t>W</t>
        </is>
      </c>
      <c r="G92" t="n">
        <v>156</v>
      </c>
      <c r="H92" t="n">
        <v>156</v>
      </c>
      <c r="I92" s="8" t="n">
        <v>0.687949489182222</v>
      </c>
      <c r="J92" s="8" t="n">
        <v>0.218787429172395</v>
      </c>
      <c r="K92" s="8" t="n">
        <v>3.144373933111795</v>
      </c>
      <c r="L92" s="9" t="n">
        <v>0.06032865423507883</v>
      </c>
      <c r="M92" s="8" t="n">
        <v>0.255737535560364</v>
      </c>
      <c r="N92" s="8" t="n">
        <v>1.12016144280408</v>
      </c>
      <c r="O92" s="8" t="n">
        <v>0.02463226544512165</v>
      </c>
      <c r="P92" t="b">
        <v>1</v>
      </c>
    </row>
    <row r="93">
      <c r="A93" t="inlineStr">
        <is>
          <t>003350</t>
        </is>
      </c>
      <c r="B93" t="inlineStr">
        <is>
          <t>한국화장품제조</t>
        </is>
      </c>
      <c r="C93" t="inlineStr">
        <is>
          <t>KOSPI</t>
        </is>
      </c>
      <c r="D93" t="inlineStr">
        <is>
          <t>KOSPI 반도체 제외</t>
        </is>
      </c>
      <c r="E93" t="inlineStr">
        <is>
          <t>monthly_5y</t>
        </is>
      </c>
      <c r="F93" t="inlineStr">
        <is>
          <t>M</t>
        </is>
      </c>
      <c r="G93" t="n">
        <v>60</v>
      </c>
      <c r="H93" t="n">
        <v>60</v>
      </c>
      <c r="I93" s="8" t="n">
        <v>0.6003294885179468</v>
      </c>
      <c r="J93" s="8" t="n">
        <v>0.3602848487728132</v>
      </c>
      <c r="K93" s="8" t="n">
        <v>1.666263487245615</v>
      </c>
      <c r="L93" s="9" t="n">
        <v>0.04568273960463143</v>
      </c>
      <c r="M93" s="8" t="n">
        <v>-0.1208589925432156</v>
      </c>
      <c r="N93" s="8" t="n">
        <v>1.321517969579109</v>
      </c>
      <c r="O93" s="8" t="n">
        <v>0.006209101763784391</v>
      </c>
      <c r="P93" t="b">
        <v>1</v>
      </c>
    </row>
    <row r="94">
      <c r="A94" t="inlineStr">
        <is>
          <t>003350</t>
        </is>
      </c>
      <c r="B94" t="inlineStr">
        <is>
          <t>한국화장품제조</t>
        </is>
      </c>
      <c r="C94" t="inlineStr">
        <is>
          <t>KOSPI</t>
        </is>
      </c>
      <c r="D94" t="inlineStr">
        <is>
          <t>KOSDAQ</t>
        </is>
      </c>
      <c r="E94" t="inlineStr">
        <is>
          <t>daily_1y</t>
        </is>
      </c>
      <c r="F94" t="inlineStr">
        <is>
          <t>D</t>
        </is>
      </c>
      <c r="G94" t="n">
        <v>250</v>
      </c>
      <c r="H94" t="n">
        <v>250</v>
      </c>
      <c r="I94" s="8" t="n">
        <v>0.5976123726442321</v>
      </c>
      <c r="J94" s="8" t="n">
        <v>0.07471426619749304</v>
      </c>
      <c r="K94" s="8" t="n">
        <v>7.998638052129921</v>
      </c>
      <c r="L94" s="9" t="n">
        <v>0.2050726893640732</v>
      </c>
      <c r="M94" s="8" t="n">
        <v>0.4504569729631106</v>
      </c>
      <c r="N94" s="8" t="n">
        <v>0.7447677723253535</v>
      </c>
      <c r="O94" s="8" t="n">
        <v>0.6822552870431591</v>
      </c>
      <c r="P94" t="b">
        <v>1</v>
      </c>
    </row>
    <row r="95">
      <c r="A95" t="inlineStr">
        <is>
          <t>003350</t>
        </is>
      </c>
      <c r="B95" t="inlineStr">
        <is>
          <t>한국화장품제조</t>
        </is>
      </c>
      <c r="C95" t="inlineStr">
        <is>
          <t>KOSPI</t>
        </is>
      </c>
      <c r="D95" t="inlineStr">
        <is>
          <t>KOSDAQ</t>
        </is>
      </c>
      <c r="E95" t="inlineStr">
        <is>
          <t>weekly_2y</t>
        </is>
      </c>
      <c r="F95" t="inlineStr">
        <is>
          <t>W</t>
        </is>
      </c>
      <c r="G95" t="n">
        <v>104</v>
      </c>
      <c r="H95" t="n">
        <v>104</v>
      </c>
      <c r="I95" s="8" t="n">
        <v>0.917425501586481</v>
      </c>
      <c r="J95" s="8" t="n">
        <v>0.1856186525532053</v>
      </c>
      <c r="K95" s="8" t="n">
        <v>4.942528614270121</v>
      </c>
      <c r="L95" s="9" t="n">
        <v>0.1932204517682358</v>
      </c>
      <c r="M95" s="8" t="n">
        <v>0.5492517843463678</v>
      </c>
      <c r="N95" s="8" t="n">
        <v>1.285599218826594</v>
      </c>
      <c r="O95" s="8" t="n">
        <v>0.6740284540857843</v>
      </c>
      <c r="P95" t="b">
        <v>1</v>
      </c>
    </row>
    <row r="96">
      <c r="A96" t="inlineStr">
        <is>
          <t>003350</t>
        </is>
      </c>
      <c r="B96" t="inlineStr">
        <is>
          <t>한국화장품제조</t>
        </is>
      </c>
      <c r="C96" t="inlineStr">
        <is>
          <t>KOSPI</t>
        </is>
      </c>
      <c r="D96" t="inlineStr">
        <is>
          <t>KOSDAQ</t>
        </is>
      </c>
      <c r="E96" t="inlineStr">
        <is>
          <t>weekly_3y</t>
        </is>
      </c>
      <c r="F96" t="inlineStr">
        <is>
          <t>W</t>
        </is>
      </c>
      <c r="G96" t="n">
        <v>156</v>
      </c>
      <c r="H96" t="n">
        <v>156</v>
      </c>
      <c r="I96" s="8" t="n">
        <v>0.739950913580228</v>
      </c>
      <c r="J96" s="8" t="n">
        <v>0.183823743522199</v>
      </c>
      <c r="K96" s="8" t="n">
        <v>4.025328281332001</v>
      </c>
      <c r="L96" s="9" t="n">
        <v>0.09519951047091524</v>
      </c>
      <c r="M96" s="8" t="n">
        <v>0.3768093034321916</v>
      </c>
      <c r="N96" s="8" t="n">
        <v>1.103092523728264</v>
      </c>
      <c r="O96" s="8" t="n">
        <v>0.5345852150921204</v>
      </c>
      <c r="P96" t="b">
        <v>1</v>
      </c>
    </row>
    <row r="97">
      <c r="A97" t="inlineStr">
        <is>
          <t>003350</t>
        </is>
      </c>
      <c r="B97" t="inlineStr">
        <is>
          <t>한국화장품제조</t>
        </is>
      </c>
      <c r="C97" t="inlineStr">
        <is>
          <t>KOSPI</t>
        </is>
      </c>
      <c r="D97" t="inlineStr">
        <is>
          <t>KOSDAQ</t>
        </is>
      </c>
      <c r="E97" t="inlineStr">
        <is>
          <t>monthly_5y</t>
        </is>
      </c>
      <c r="F97" t="inlineStr">
        <is>
          <t>M</t>
        </is>
      </c>
      <c r="G97" t="n">
        <v>60</v>
      </c>
      <c r="H97" t="n">
        <v>60</v>
      </c>
      <c r="I97" s="8" t="n">
        <v>0.6875789607706778</v>
      </c>
      <c r="J97" s="8" t="n">
        <v>0.3175621812403182</v>
      </c>
      <c r="K97" s="8" t="n">
        <v>2.165178983483383</v>
      </c>
      <c r="L97" s="9" t="n">
        <v>0.07478305302826516</v>
      </c>
      <c r="M97" s="8" t="n">
        <v>0.05190919027863483</v>
      </c>
      <c r="N97" s="8" t="n">
        <v>1.323248731262721</v>
      </c>
      <c r="O97" s="8" t="n">
        <v>-0.1195269643244529</v>
      </c>
      <c r="P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26" customWidth="1" min="5" max="5"/>
    <col width="14" customWidth="1" min="6" max="6"/>
    <col width="14" customWidth="1" min="7" max="7"/>
    <col width="12" customWidth="1" min="8" max="8"/>
  </cols>
  <sheetData>
    <row r="1">
      <c r="A1" s="11" t="inlineStr">
        <is>
          <t>시장지수 · 측정조건별 재레버 베타 (목표 D/E 는 모든 조합에서 동일)</t>
        </is>
      </c>
    </row>
    <row r="3">
      <c r="A3" s="7" t="inlineStr">
        <is>
          <t>시장지수</t>
        </is>
      </c>
      <c r="B3" s="7" t="inlineStr">
        <is>
          <t>측정조건</t>
        </is>
      </c>
      <c r="C3" s="7" t="inlineStr">
        <is>
          <t>원시 β 중앙값</t>
        </is>
      </c>
      <c r="D3" s="7" t="inlineStr">
        <is>
          <t>R² 중앙값</t>
        </is>
      </c>
      <c r="E3" s="7" t="inlineStr">
        <is>
          <t>β&gt;0 유의 (95%)</t>
        </is>
      </c>
      <c r="F3" s="7" t="inlineStr">
        <is>
          <t>Peer 수</t>
        </is>
      </c>
      <c r="G3" s="7" t="inlineStr">
        <is>
          <t>βu 중앙값</t>
        </is>
      </c>
      <c r="H3" s="7" t="inlineStr">
        <is>
          <t>재레버 β</t>
        </is>
      </c>
    </row>
    <row r="4">
      <c r="A4" t="inlineStr">
        <is>
          <t>KOSPI (기본)</t>
        </is>
      </c>
      <c r="B4" t="inlineStr">
        <is>
          <t>daily_1y</t>
        </is>
      </c>
      <c r="C4" s="8" t="n">
        <v>0.2396768330975493</v>
      </c>
      <c r="D4" s="9" t="n">
        <v>0.06250729245891962</v>
      </c>
      <c r="E4" t="n">
        <v>5</v>
      </c>
      <c r="F4" t="n">
        <v>6</v>
      </c>
      <c r="G4" s="8" t="n">
        <v>0.4196986557501658</v>
      </c>
      <c r="H4" s="8" t="n">
        <v>0.4708728951083525</v>
      </c>
    </row>
    <row r="5">
      <c r="A5" t="inlineStr">
        <is>
          <t>KOSPI (기본)</t>
        </is>
      </c>
      <c r="B5" t="inlineStr">
        <is>
          <t>weekly_2y</t>
        </is>
      </c>
      <c r="C5" s="8" t="n">
        <v>0.2698103262773462</v>
      </c>
      <c r="D5" s="9" t="n">
        <v>0.02540896379071111</v>
      </c>
      <c r="E5" t="n">
        <v>3</v>
      </c>
      <c r="F5" t="n">
        <v>6</v>
      </c>
      <c r="G5" s="8" t="n">
        <v>0.4099970062570883</v>
      </c>
      <c r="H5" s="8" t="n">
        <v>0.4599883146562977</v>
      </c>
    </row>
    <row r="6">
      <c r="A6" t="inlineStr">
        <is>
          <t>KOSPI (기본)</t>
        </is>
      </c>
      <c r="B6" t="inlineStr">
        <is>
          <t>weekly_3y</t>
        </is>
      </c>
      <c r="C6" s="8" t="n">
        <v>0.2072491695518547</v>
      </c>
      <c r="D6" s="9" t="n">
        <v>0.011990791394624</v>
      </c>
      <c r="E6" t="n">
        <v>0</v>
      </c>
      <c r="F6" t="n">
        <v>6</v>
      </c>
      <c r="G6" s="8" t="n">
        <v>0.3728654067842572</v>
      </c>
      <c r="H6" s="8" t="n">
        <v>0.4183292254401921</v>
      </c>
    </row>
    <row r="7">
      <c r="A7" t="inlineStr">
        <is>
          <t>KOSPI (기본)</t>
        </is>
      </c>
      <c r="B7" t="inlineStr">
        <is>
          <t>monthly_5y</t>
        </is>
      </c>
      <c r="C7" s="8" t="n">
        <v>0.1616884242825578</v>
      </c>
      <c r="D7" s="9" t="n">
        <v>0.005283952528426172</v>
      </c>
      <c r="E7" t="n">
        <v>0</v>
      </c>
      <c r="F7" t="n">
        <v>6</v>
      </c>
      <c r="G7" s="8" t="n">
        <v>0.3844783709350035</v>
      </c>
      <c r="H7" s="8" t="n">
        <v>0.4313581688869553</v>
      </c>
    </row>
    <row r="8">
      <c r="A8" t="inlineStr">
        <is>
          <t>상장시장 지수 (KOSPI/KOSDAQ)</t>
        </is>
      </c>
      <c r="B8" t="inlineStr">
        <is>
          <t>daily_1y</t>
        </is>
      </c>
      <c r="C8" s="8" t="n">
        <v>0.3683074825288508</v>
      </c>
      <c r="D8" s="9" t="n">
        <v>0.07955794062502636</v>
      </c>
      <c r="E8" t="n">
        <v>6</v>
      </c>
      <c r="F8" t="n">
        <v>6</v>
      </c>
      <c r="G8" s="8" t="n">
        <v>0.5141566409903607</v>
      </c>
      <c r="H8" s="8" t="n">
        <v>0.5768482285214498</v>
      </c>
    </row>
    <row r="9">
      <c r="A9" t="inlineStr">
        <is>
          <t>상장시장 지수 (KOSPI/KOSDAQ)</t>
        </is>
      </c>
      <c r="B9" t="inlineStr">
        <is>
          <t>weekly_2y</t>
        </is>
      </c>
      <c r="C9" s="8" t="n">
        <v>0.6229922222610937</v>
      </c>
      <c r="D9" s="9" t="n">
        <v>0.09606432295555628</v>
      </c>
      <c r="E9" t="n">
        <v>5</v>
      </c>
      <c r="F9" t="n">
        <v>6</v>
      </c>
      <c r="G9" s="8" t="n">
        <v>0.6792839886885634</v>
      </c>
      <c r="H9" s="8" t="n">
        <v>0.7621097041228891</v>
      </c>
    </row>
    <row r="10">
      <c r="A10" t="inlineStr">
        <is>
          <t>상장시장 지수 (KOSPI/KOSDAQ)</t>
        </is>
      </c>
      <c r="B10" t="inlineStr">
        <is>
          <t>weekly_3y</t>
        </is>
      </c>
      <c r="C10" s="8" t="n">
        <v>0.4881169741469042</v>
      </c>
      <c r="D10" s="9" t="n">
        <v>0.05096751650250519</v>
      </c>
      <c r="E10" t="n">
        <v>3</v>
      </c>
      <c r="F10" t="n">
        <v>6</v>
      </c>
      <c r="G10" s="8" t="n">
        <v>0.5962123275601598</v>
      </c>
      <c r="H10" s="8" t="n">
        <v>0.6689090396912258</v>
      </c>
    </row>
    <row r="11">
      <c r="A11" t="inlineStr">
        <is>
          <t>상장시장 지수 (KOSPI/KOSDAQ)</t>
        </is>
      </c>
      <c r="B11" t="inlineStr">
        <is>
          <t>monthly_5y</t>
        </is>
      </c>
      <c r="C11" s="8" t="n">
        <v>0.4159195716694134</v>
      </c>
      <c r="D11" s="9" t="n">
        <v>0.0456704842359687</v>
      </c>
      <c r="E11" t="n">
        <v>1</v>
      </c>
      <c r="F11" t="n">
        <v>6</v>
      </c>
      <c r="G11" s="8" t="n">
        <v>0.5261570532074918</v>
      </c>
      <c r="H11" s="8" t="n">
        <v>0.5903118619302207</v>
      </c>
    </row>
    <row r="12">
      <c r="A12" t="inlineStr">
        <is>
          <t>KOSPI 반도체 제외</t>
        </is>
      </c>
      <c r="B12" t="inlineStr">
        <is>
          <t>daily_1y</t>
        </is>
      </c>
      <c r="C12" s="8" t="n">
        <v>0.4962494105250355</v>
      </c>
      <c r="D12" s="9" t="n">
        <v>0.1334357173556548</v>
      </c>
      <c r="E12" t="n">
        <v>6</v>
      </c>
      <c r="F12" t="n">
        <v>6</v>
      </c>
      <c r="G12" s="8" t="n">
        <v>0.5656632561534765</v>
      </c>
      <c r="H12" s="8" t="n">
        <v>0.634635092183756</v>
      </c>
    </row>
    <row r="13">
      <c r="A13" t="inlineStr">
        <is>
          <t>KOSPI 반도체 제외</t>
        </is>
      </c>
      <c r="B13" t="inlineStr">
        <is>
          <t>weekly_2y</t>
        </is>
      </c>
      <c r="C13" s="8" t="n">
        <v>0.6346208355168521</v>
      </c>
      <c r="D13" s="9" t="n">
        <v>0.06686374090051539</v>
      </c>
      <c r="E13" t="n">
        <v>6</v>
      </c>
      <c r="F13" t="n">
        <v>6</v>
      </c>
      <c r="G13" s="8" t="n">
        <v>0.670391453760254</v>
      </c>
      <c r="H13" s="8" t="n">
        <v>0.7521328943114282</v>
      </c>
    </row>
    <row r="14">
      <c r="A14" t="inlineStr">
        <is>
          <t>KOSPI 반도체 제외</t>
        </is>
      </c>
      <c r="B14" t="inlineStr">
        <is>
          <t>weekly_3y</t>
        </is>
      </c>
      <c r="C14" s="8" t="n">
        <v>0.4584151875136265</v>
      </c>
      <c r="D14" s="9" t="n">
        <v>0.0323973115830623</v>
      </c>
      <c r="E14" t="n">
        <v>4</v>
      </c>
      <c r="F14" t="n">
        <v>6</v>
      </c>
      <c r="G14" s="8" t="n">
        <v>0.5451896236287227</v>
      </c>
      <c r="H14" s="8" t="n">
        <v>0.6116650909978242</v>
      </c>
    </row>
    <row r="15">
      <c r="A15" t="inlineStr">
        <is>
          <t>KOSPI 반도체 제외</t>
        </is>
      </c>
      <c r="B15" t="inlineStr">
        <is>
          <t>monthly_5y</t>
        </is>
      </c>
      <c r="C15" s="8" t="n">
        <v>0.532214075609595</v>
      </c>
      <c r="D15" s="9" t="n">
        <v>0.03423552584838446</v>
      </c>
      <c r="E15" t="n">
        <v>2</v>
      </c>
      <c r="F15" t="n">
        <v>6</v>
      </c>
      <c r="G15" s="8" t="n">
        <v>0.5804083052538802</v>
      </c>
      <c r="H15" s="8" t="n">
        <v>0.651178018550799</v>
      </c>
    </row>
    <row r="16">
      <c r="A16" t="inlineStr">
        <is>
          <t>KOSDAQ</t>
        </is>
      </c>
      <c r="B16" t="inlineStr">
        <is>
          <t>daily_1y</t>
        </is>
      </c>
      <c r="C16" s="8" t="n">
        <v>0.4836913898552002</v>
      </c>
      <c r="D16" s="9" t="n">
        <v>0.2023225703646113</v>
      </c>
      <c r="E16" t="n">
        <v>6</v>
      </c>
      <c r="F16" t="n">
        <v>6</v>
      </c>
      <c r="G16" s="8" t="n">
        <v>0.5731204580026182</v>
      </c>
      <c r="H16" s="8" t="n">
        <v>0.6430015574464015</v>
      </c>
    </row>
    <row r="17">
      <c r="A17" t="inlineStr">
        <is>
          <t>KOSDAQ</t>
        </is>
      </c>
      <c r="B17" t="inlineStr">
        <is>
          <t>weekly_2y</t>
        </is>
      </c>
      <c r="C17" s="8" t="n">
        <v>0.8516221024598982</v>
      </c>
      <c r="D17" s="9" t="n">
        <v>0.1587320396607413</v>
      </c>
      <c r="E17" t="n">
        <v>6</v>
      </c>
      <c r="F17" t="n">
        <v>6</v>
      </c>
      <c r="G17" s="8" t="n">
        <v>0.8279253808797636</v>
      </c>
      <c r="H17" s="8" t="n">
        <v>0.9288750766469083</v>
      </c>
    </row>
    <row r="18">
      <c r="A18" t="inlineStr">
        <is>
          <t>KOSDAQ</t>
        </is>
      </c>
      <c r="B18" t="inlineStr">
        <is>
          <t>weekly_3y</t>
        </is>
      </c>
      <c r="C18" s="8" t="n">
        <v>0.7200098099823757</v>
      </c>
      <c r="D18" s="9" t="n">
        <v>0.09045117690355209</v>
      </c>
      <c r="E18" t="n">
        <v>6</v>
      </c>
      <c r="F18" t="n">
        <v>6</v>
      </c>
      <c r="G18" s="8" t="n">
        <v>0.7344226032881713</v>
      </c>
      <c r="H18" s="8" t="n">
        <v>0.8239714202210131</v>
      </c>
    </row>
    <row r="19">
      <c r="A19" t="inlineStr">
        <is>
          <t>KOSDAQ</t>
        </is>
      </c>
      <c r="B19" t="inlineStr">
        <is>
          <t>monthly_5y</t>
        </is>
      </c>
      <c r="C19" s="8" t="n">
        <v>0.6378259144731637</v>
      </c>
      <c r="D19" s="9" t="n">
        <v>0.07061780185528671</v>
      </c>
      <c r="E19" t="n">
        <v>4</v>
      </c>
      <c r="F19" t="n">
        <v>6</v>
      </c>
      <c r="G19" s="8" t="n">
        <v>0.6665328066995204</v>
      </c>
      <c r="H19" s="8" t="n">
        <v>0.7478037589001141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8" customWidth="1" min="5" max="5"/>
    <col width="12" customWidth="1" min="6" max="6"/>
    <col width="16" customWidth="1" min="7" max="7"/>
    <col width="18" customWidth="1" min="8" max="8"/>
    <col width="40" customWidth="1" min="9" max="9"/>
  </cols>
  <sheetData>
    <row r="1">
      <c r="A1" t="inlineStr">
        <is>
          <t>52주 이동 베타 (vs KOSPI 반도체 제외)</t>
        </is>
      </c>
    </row>
    <row r="3">
      <c r="A3" s="7" t="inlineStr">
        <is>
          <t>주</t>
        </is>
      </c>
      <c r="B3" s="7" t="inlineStr">
        <is>
          <t>코스맥스</t>
        </is>
      </c>
      <c r="C3" s="7" t="inlineStr">
        <is>
          <t>한국콜마</t>
        </is>
      </c>
      <c r="D3" s="7" t="inlineStr">
        <is>
          <t>코스메카코리아</t>
        </is>
      </c>
      <c r="E3" s="7" t="inlineStr">
        <is>
          <t>씨앤씨인터내셔널</t>
        </is>
      </c>
      <c r="F3" s="7" t="inlineStr">
        <is>
          <t>잉글우드랩</t>
        </is>
      </c>
      <c r="G3" s="7" t="inlineStr">
        <is>
          <t>한국화장품제조</t>
        </is>
      </c>
      <c r="H3" s="7" t="inlineStr">
        <is>
          <t>Peer 중앙값</t>
        </is>
      </c>
      <c r="I3" s="7" t="inlineStr">
        <is>
          <t>Peer 중앙값 (KOSPI (기본))</t>
        </is>
      </c>
    </row>
    <row r="4">
      <c r="A4" s="16" t="n">
        <v>45198</v>
      </c>
      <c r="B4" s="8" t="n">
        <v>0.2304507383589701</v>
      </c>
      <c r="C4" s="8" t="n">
        <v>0.7443691401768351</v>
      </c>
      <c r="D4" s="8" t="n">
        <v>0.4534718306162247</v>
      </c>
      <c r="E4" s="8" t="n">
        <v>-0.481865224580924</v>
      </c>
      <c r="F4" s="8" t="n">
        <v>-0.2280271208480259</v>
      </c>
      <c r="G4" s="8" t="n">
        <v>0.5660501808117475</v>
      </c>
      <c r="H4" s="8" t="n">
        <v>0.3419612844875974</v>
      </c>
      <c r="I4" s="8" t="n">
        <v>0.2368975549845739</v>
      </c>
    </row>
    <row r="5">
      <c r="A5" s="16" t="n">
        <v>45205</v>
      </c>
      <c r="B5" s="8" t="n">
        <v>0.3590392422366074</v>
      </c>
      <c r="C5" s="8" t="n">
        <v>0.8360072526149082</v>
      </c>
      <c r="D5" s="8" t="n">
        <v>0.6111277911931243</v>
      </c>
      <c r="E5" s="8" t="n">
        <v>-0.3924606148535732</v>
      </c>
      <c r="F5" s="8" t="n">
        <v>-0.1913523074147525</v>
      </c>
      <c r="G5" s="8" t="n">
        <v>0.6182780674294488</v>
      </c>
      <c r="H5" s="8" t="n">
        <v>0.4850835167148659</v>
      </c>
      <c r="I5" s="8" t="n">
        <v>0.3387303527649387</v>
      </c>
    </row>
    <row r="6">
      <c r="A6" s="16" t="n">
        <v>45212</v>
      </c>
      <c r="B6" s="8" t="n">
        <v>0.2543551849627023</v>
      </c>
      <c r="C6" s="8" t="n">
        <v>0.7685310427509962</v>
      </c>
      <c r="D6" s="8" t="n">
        <v>0.6968696463960486</v>
      </c>
      <c r="E6" s="8" t="n">
        <v>-0.4505243607445081</v>
      </c>
      <c r="F6" s="8" t="n">
        <v>-0.1832365688734002</v>
      </c>
      <c r="G6" s="8" t="n">
        <v>0.5491156144339625</v>
      </c>
      <c r="H6" s="8" t="n">
        <v>0.4017353996983324</v>
      </c>
      <c r="I6" s="8" t="n">
        <v>0.2615847638638723</v>
      </c>
    </row>
    <row r="7">
      <c r="A7" s="16" t="n">
        <v>45219</v>
      </c>
      <c r="B7" s="8" t="n">
        <v>0.1371746956735721</v>
      </c>
      <c r="C7" s="8" t="n">
        <v>0.6133979799616923</v>
      </c>
      <c r="D7" s="8" t="n">
        <v>0.635096386036246</v>
      </c>
      <c r="E7" s="8" t="n">
        <v>-0.6052595760146917</v>
      </c>
      <c r="F7" s="8" t="n">
        <v>-0.04338774341927309</v>
      </c>
      <c r="G7" s="8" t="n">
        <v>0.6462028077585938</v>
      </c>
      <c r="H7" s="8" t="n">
        <v>0.3752863378176322</v>
      </c>
      <c r="I7" s="8" t="n">
        <v>0.2703540451741337</v>
      </c>
    </row>
    <row r="8">
      <c r="A8" s="16" t="n">
        <v>45226</v>
      </c>
      <c r="B8" s="8" t="n">
        <v>0.1440302043945989</v>
      </c>
      <c r="C8" s="8" t="n">
        <v>0.5799686242222817</v>
      </c>
      <c r="D8" s="8" t="n">
        <v>0.7351232020965289</v>
      </c>
      <c r="E8" s="8" t="n">
        <v>-0.4549653308250609</v>
      </c>
      <c r="F8" s="8" t="n">
        <v>0.05344129929405726</v>
      </c>
      <c r="G8" s="8" t="n">
        <v>0.6915394087817041</v>
      </c>
      <c r="H8" s="8" t="n">
        <v>0.3619994143084403</v>
      </c>
      <c r="I8" s="8" t="n">
        <v>0.295459858951203</v>
      </c>
    </row>
    <row r="9">
      <c r="A9" s="16" t="n">
        <v>45233</v>
      </c>
      <c r="B9" s="8" t="n">
        <v>-0.0138069835002017</v>
      </c>
      <c r="C9" s="8" t="n">
        <v>0.4895182980447592</v>
      </c>
      <c r="D9" s="8" t="n">
        <v>0.6999198611346942</v>
      </c>
      <c r="E9" s="8" t="n">
        <v>-0.6990512846768896</v>
      </c>
      <c r="F9" s="8" t="n">
        <v>-0.04896865690583073</v>
      </c>
      <c r="G9" s="8" t="n">
        <v>0.6986552526539779</v>
      </c>
      <c r="H9" s="8" t="n">
        <v>0.2378556572722788</v>
      </c>
      <c r="I9" s="8" t="n">
        <v>0.185693493881587</v>
      </c>
    </row>
    <row r="10">
      <c r="A10" s="16" t="n">
        <v>45240</v>
      </c>
      <c r="B10" s="8" t="n">
        <v>-0.1416735381016675</v>
      </c>
      <c r="C10" s="8" t="n">
        <v>0.2778572229769956</v>
      </c>
      <c r="D10" s="8" t="n">
        <v>0.1580404186473318</v>
      </c>
      <c r="E10" s="8" t="n">
        <v>-0.5421978522547709</v>
      </c>
      <c r="F10" s="8" t="n">
        <v>-0.03457214613756569</v>
      </c>
      <c r="G10" s="8" t="n">
        <v>0.65862799584582</v>
      </c>
      <c r="H10" s="8" t="n">
        <v>0.06173413625488305</v>
      </c>
      <c r="I10" s="8" t="n">
        <v>0.07467261906742445</v>
      </c>
    </row>
    <row r="11">
      <c r="A11" s="16" t="n">
        <v>45247</v>
      </c>
      <c r="B11" s="8" t="n">
        <v>-0.2670942745960145</v>
      </c>
      <c r="C11" s="8" t="n">
        <v>0.1516208825713488</v>
      </c>
      <c r="D11" s="8" t="n">
        <v>0.04730827882777966</v>
      </c>
      <c r="E11" s="8" t="n">
        <v>-0.4323009400769868</v>
      </c>
      <c r="F11" s="8" t="n">
        <v>-0.109562065735947</v>
      </c>
      <c r="G11" s="8" t="n">
        <v>0.6333584369417237</v>
      </c>
      <c r="H11" s="8" t="n">
        <v>-0.03112689345408368</v>
      </c>
      <c r="I11" s="8" t="n">
        <v>-0.02525757204496416</v>
      </c>
    </row>
    <row r="12">
      <c r="A12" s="16" t="n">
        <v>45254</v>
      </c>
      <c r="B12" s="8" t="n">
        <v>-0.2909359777109534</v>
      </c>
      <c r="C12" s="8" t="n">
        <v>0.2059733375219458</v>
      </c>
      <c r="D12" s="8" t="n">
        <v>0.02669276621387578</v>
      </c>
      <c r="E12" s="8" t="n">
        <v>-0.3389675788862851</v>
      </c>
      <c r="F12" s="8" t="n">
        <v>-0.2107851094484461</v>
      </c>
      <c r="G12" s="8" t="n">
        <v>0.6026519807451232</v>
      </c>
      <c r="H12" s="8" t="n">
        <v>-0.09204617161728514</v>
      </c>
      <c r="I12" s="8" t="n">
        <v>-0.04162923696135093</v>
      </c>
    </row>
    <row r="13">
      <c r="A13" s="16" t="n">
        <v>45261</v>
      </c>
      <c r="B13" s="8" t="n">
        <v>-0.3024622856583445</v>
      </c>
      <c r="C13" s="8" t="n">
        <v>0.1942506628905855</v>
      </c>
      <c r="D13" s="8" t="n">
        <v>0.01622732214044458</v>
      </c>
      <c r="E13" s="8" t="n">
        <v>-0.3561559330612035</v>
      </c>
      <c r="F13" s="8" t="n">
        <v>-0.2146096203058218</v>
      </c>
      <c r="G13" s="8" t="n">
        <v>0.5815923354895306</v>
      </c>
      <c r="H13" s="8" t="n">
        <v>-0.09919114908268858</v>
      </c>
      <c r="I13" s="8" t="n">
        <v>-0.04049399148612315</v>
      </c>
    </row>
    <row r="14">
      <c r="A14" s="16" t="n">
        <v>45268</v>
      </c>
      <c r="B14" s="8" t="n">
        <v>-0.1961602914472284</v>
      </c>
      <c r="C14" s="8" t="n">
        <v>0.2434176748107875</v>
      </c>
      <c r="D14" s="8" t="n">
        <v>0.1108907914781905</v>
      </c>
      <c r="E14" s="8" t="n">
        <v>-0.2555778762105953</v>
      </c>
      <c r="F14" s="8" t="n">
        <v>-0.1129148817534354</v>
      </c>
      <c r="G14" s="8" t="n">
        <v>0.6080151961278489</v>
      </c>
      <c r="H14" s="8" t="n">
        <v>-0.00101204513762243</v>
      </c>
      <c r="I14" s="8" t="n">
        <v>0.02235243986077121</v>
      </c>
    </row>
    <row r="15">
      <c r="A15" s="16" t="n">
        <v>45275</v>
      </c>
      <c r="B15" s="8" t="n">
        <v>-0.2331955148468245</v>
      </c>
      <c r="C15" s="8" t="n">
        <v>0.2615772320928906</v>
      </c>
      <c r="D15" s="8" t="n">
        <v>0.07183742715296991</v>
      </c>
      <c r="E15" s="8" t="n">
        <v>-0.238250954047801</v>
      </c>
      <c r="F15" s="8" t="n">
        <v>-0.1922677771528709</v>
      </c>
      <c r="G15" s="8" t="n">
        <v>0.586657832904055</v>
      </c>
      <c r="H15" s="8" t="n">
        <v>-0.06021517499995047</v>
      </c>
      <c r="I15" s="8" t="n">
        <v>-0.01845655160111096</v>
      </c>
    </row>
    <row r="16">
      <c r="A16" s="16" t="n">
        <v>45282</v>
      </c>
      <c r="B16" s="8" t="n">
        <v>-0.2064044429426349</v>
      </c>
      <c r="C16" s="8" t="n">
        <v>0.2688473741888814</v>
      </c>
      <c r="D16" s="8" t="n">
        <v>0.03346793546789662</v>
      </c>
      <c r="E16" s="8" t="n">
        <v>-0.2301530860655306</v>
      </c>
      <c r="F16" s="8" t="n">
        <v>-0.1968388865304021</v>
      </c>
      <c r="G16" s="8" t="n">
        <v>0.6006975733269362</v>
      </c>
      <c r="H16" s="8" t="n">
        <v>-0.08168547553125276</v>
      </c>
      <c r="I16" s="8" t="n">
        <v>-0.01719084435398399</v>
      </c>
    </row>
    <row r="17">
      <c r="A17" s="16" t="n">
        <v>45289</v>
      </c>
      <c r="B17" s="8" t="n">
        <v>-0.1263516465668184</v>
      </c>
      <c r="C17" s="8" t="n">
        <v>0.2832810112264665</v>
      </c>
      <c r="D17" s="8" t="n">
        <v>0.09670009576467034</v>
      </c>
      <c r="E17" s="8" t="n">
        <v>-0.2235446827022397</v>
      </c>
      <c r="F17" s="8" t="n">
        <v>-0.1360247616171281</v>
      </c>
      <c r="G17" s="8" t="n">
        <v>0.9499872895453277</v>
      </c>
      <c r="H17" s="8" t="n">
        <v>-0.01482577540107402</v>
      </c>
      <c r="I17" s="8" t="n">
        <v>0.0284951028491115</v>
      </c>
    </row>
    <row r="18">
      <c r="A18" s="16" t="n">
        <v>45296</v>
      </c>
      <c r="B18" s="8" t="n">
        <v>0.09263929479204301</v>
      </c>
      <c r="C18" s="8" t="n">
        <v>0.2810763933915874</v>
      </c>
      <c r="D18" s="8" t="n">
        <v>0.03290198268361017</v>
      </c>
      <c r="E18" s="8" t="n">
        <v>-0.2717845541508945</v>
      </c>
      <c r="F18" s="8" t="n">
        <v>-0.2162741285634585</v>
      </c>
      <c r="G18" s="8" t="n">
        <v>0.936686893909254</v>
      </c>
      <c r="H18" s="8" t="n">
        <v>0.0627706387378266</v>
      </c>
      <c r="I18" s="8" t="n">
        <v>0.08279636424216266</v>
      </c>
    </row>
    <row r="19">
      <c r="A19" s="16" t="n">
        <v>45303</v>
      </c>
      <c r="B19" s="8" t="n">
        <v>0.01827117197923074</v>
      </c>
      <c r="C19" s="8" t="n">
        <v>0.2018460470882633</v>
      </c>
      <c r="D19" s="8" t="n">
        <v>0.09770968317375153</v>
      </c>
      <c r="E19" s="8" t="n">
        <v>-0.3086377911769905</v>
      </c>
      <c r="F19" s="8" t="n">
        <v>-0.2202662708309645</v>
      </c>
      <c r="G19" s="8" t="n">
        <v>0.879749772791144</v>
      </c>
      <c r="H19" s="8" t="n">
        <v>0.05799042757649114</v>
      </c>
      <c r="I19" s="8" t="n">
        <v>0.01879727054368061</v>
      </c>
    </row>
    <row r="20">
      <c r="A20" s="16" t="n">
        <v>45310</v>
      </c>
      <c r="B20" s="8" t="n">
        <v>-0.1301193345056602</v>
      </c>
      <c r="C20" s="8" t="n">
        <v>0.2746177031571542</v>
      </c>
      <c r="D20" s="8" t="n">
        <v>0.189354364118012</v>
      </c>
      <c r="E20" s="8" t="n">
        <v>-0.3583140082011845</v>
      </c>
      <c r="F20" s="8" t="n">
        <v>-0.1388073013448998</v>
      </c>
      <c r="G20" s="8" t="n">
        <v>0.8958123866609388</v>
      </c>
      <c r="H20" s="8" t="n">
        <v>0.02961751480617592</v>
      </c>
      <c r="I20" s="8" t="n">
        <v>0.00522587065785968</v>
      </c>
    </row>
    <row r="21">
      <c r="A21" s="16" t="n">
        <v>45317</v>
      </c>
      <c r="B21" s="8" t="n">
        <v>-0.1450535335584555</v>
      </c>
      <c r="C21" s="8" t="n">
        <v>0.2736672157573765</v>
      </c>
      <c r="D21" s="8" t="n">
        <v>0.261071423365157</v>
      </c>
      <c r="E21" s="8" t="n">
        <v>-0.3232196461946266</v>
      </c>
      <c r="F21" s="8" t="n">
        <v>-0.1068516804840115</v>
      </c>
      <c r="G21" s="8" t="n">
        <v>0.939846053321187</v>
      </c>
      <c r="H21" s="8" t="n">
        <v>0.07710987144057274</v>
      </c>
      <c r="I21" s="8" t="n">
        <v>0.02805792832693861</v>
      </c>
    </row>
    <row r="22">
      <c r="A22" s="16" t="n">
        <v>45324</v>
      </c>
      <c r="B22" s="8" t="n">
        <v>-0.3466612583281276</v>
      </c>
      <c r="C22" s="8" t="n">
        <v>0.03186930306333789</v>
      </c>
      <c r="D22" s="8" t="n">
        <v>-0.06144622201201036</v>
      </c>
      <c r="E22" s="8" t="n">
        <v>-0.640985996961736</v>
      </c>
      <c r="F22" s="8" t="n">
        <v>-0.3534973657109595</v>
      </c>
      <c r="G22" s="8" t="n">
        <v>0.6527880361041791</v>
      </c>
      <c r="H22" s="8" t="n">
        <v>-0.2040537401700689</v>
      </c>
      <c r="I22" s="8" t="n">
        <v>-0.2013875968541773</v>
      </c>
    </row>
    <row r="23">
      <c r="A23" s="16" t="n">
        <v>45331</v>
      </c>
      <c r="B23" s="8" t="n">
        <v>-0.3444984168660438</v>
      </c>
      <c r="C23" s="8" t="n">
        <v>0.03197515768350689</v>
      </c>
      <c r="D23" s="8" t="n">
        <v>-0.06423616971910526</v>
      </c>
      <c r="E23" s="8" t="n">
        <v>-0.6267476463264224</v>
      </c>
      <c r="F23" s="8" t="n">
        <v>-0.3557031453735829</v>
      </c>
      <c r="G23" s="8" t="n">
        <v>0.6574839167366417</v>
      </c>
      <c r="H23" s="8" t="n">
        <v>-0.2043672932925745</v>
      </c>
      <c r="I23" s="8" t="n">
        <v>-0.2036309495152832</v>
      </c>
    </row>
    <row r="24">
      <c r="A24" s="16" t="n">
        <v>45338</v>
      </c>
      <c r="B24" s="8" t="n">
        <v>-0.3650609198259153</v>
      </c>
      <c r="C24" s="8" t="n">
        <v>0.01291331333875498</v>
      </c>
      <c r="D24" s="8" t="n">
        <v>-0.09026432140635499</v>
      </c>
      <c r="E24" s="8" t="n">
        <v>-0.679497373410079</v>
      </c>
      <c r="F24" s="8" t="n">
        <v>-0.3713547855176754</v>
      </c>
      <c r="G24" s="8" t="n">
        <v>0.6416057305932376</v>
      </c>
      <c r="H24" s="8" t="n">
        <v>-0.2276626206161351</v>
      </c>
      <c r="I24" s="8" t="n">
        <v>-0.2286564552320225</v>
      </c>
    </row>
    <row r="25">
      <c r="A25" s="16" t="n">
        <v>45345</v>
      </c>
      <c r="B25" s="8" t="n">
        <v>-0.3648714074523525</v>
      </c>
      <c r="C25" s="8" t="n">
        <v>0.004581522643593094</v>
      </c>
      <c r="D25" s="8" t="n">
        <v>-0.1127611484814334</v>
      </c>
      <c r="E25" s="8" t="n">
        <v>-0.668377570833547</v>
      </c>
      <c r="F25" s="8" t="n">
        <v>-0.3874188862701801</v>
      </c>
      <c r="G25" s="8" t="n">
        <v>0.6366862080793754</v>
      </c>
      <c r="H25" s="8" t="n">
        <v>-0.2388162779668929</v>
      </c>
      <c r="I25" s="8" t="n">
        <v>-0.2454412633317217</v>
      </c>
    </row>
    <row r="26">
      <c r="A26" s="16" t="n">
        <v>45352</v>
      </c>
      <c r="B26" s="8" t="n">
        <v>-0.3591037621766808</v>
      </c>
      <c r="C26" s="8" t="n">
        <v>0.003504831061880146</v>
      </c>
      <c r="D26" s="8" t="n">
        <v>-0.05024991624084845</v>
      </c>
      <c r="E26" s="8" t="n">
        <v>-0.6603959258176626</v>
      </c>
      <c r="F26" s="8" t="n">
        <v>-0.2437847520768436</v>
      </c>
      <c r="G26" s="8" t="n">
        <v>0.5988036443404504</v>
      </c>
      <c r="H26" s="8" t="n">
        <v>-0.147017334158846</v>
      </c>
      <c r="I26" s="8" t="n">
        <v>-0.1658640656477793</v>
      </c>
    </row>
    <row r="27">
      <c r="A27" s="16" t="n">
        <v>45359</v>
      </c>
      <c r="B27" s="8" t="n">
        <v>-0.4085226571439104</v>
      </c>
      <c r="C27" s="8" t="n">
        <v>-0.06188185135069221</v>
      </c>
      <c r="D27" s="8" t="n">
        <v>-0.1563940492925963</v>
      </c>
      <c r="E27" s="8" t="n">
        <v>-0.5977261188445616</v>
      </c>
      <c r="F27" s="8" t="n">
        <v>-0.2911366095455714</v>
      </c>
      <c r="G27" s="8" t="n">
        <v>0.5650548713054289</v>
      </c>
      <c r="H27" s="8" t="n">
        <v>-0.2237653294190838</v>
      </c>
      <c r="I27" s="8" t="n">
        <v>-0.2466117871264045</v>
      </c>
    </row>
    <row r="28">
      <c r="A28" s="16" t="n">
        <v>45366</v>
      </c>
      <c r="B28" s="8" t="n">
        <v>-0.4329023171101102</v>
      </c>
      <c r="C28" s="8" t="n">
        <v>-0.07754478551023147</v>
      </c>
      <c r="D28" s="8" t="n">
        <v>-0.1699585993552449</v>
      </c>
      <c r="E28" s="8" t="n">
        <v>-0.5968776973887623</v>
      </c>
      <c r="F28" s="8" t="n">
        <v>-0.3175176884477811</v>
      </c>
      <c r="G28" s="8" t="n">
        <v>0.5590842443931847</v>
      </c>
      <c r="H28" s="8" t="n">
        <v>-0.243738143901513</v>
      </c>
      <c r="I28" s="8" t="n">
        <v>-0.2301798355301824</v>
      </c>
    </row>
    <row r="29">
      <c r="A29" s="16" t="n">
        <v>45373</v>
      </c>
      <c r="B29" s="8" t="n">
        <v>-0.3877321800507345</v>
      </c>
      <c r="C29" s="8" t="n">
        <v>-0.05985666673493903</v>
      </c>
      <c r="D29" s="8" t="n">
        <v>-0.1718808407914256</v>
      </c>
      <c r="E29" s="8" t="n">
        <v>-0.5720316375522339</v>
      </c>
      <c r="F29" s="8" t="n">
        <v>-0.3169261333901908</v>
      </c>
      <c r="G29" s="8" t="n">
        <v>0.5711629277501564</v>
      </c>
      <c r="H29" s="8" t="n">
        <v>-0.2444034870908082</v>
      </c>
      <c r="I29" s="8" t="n">
        <v>-0.1882146352931492</v>
      </c>
    </row>
    <row r="30">
      <c r="A30" s="16" t="n">
        <v>45380</v>
      </c>
      <c r="B30" s="8" t="n">
        <v>-0.4851326037391926</v>
      </c>
      <c r="C30" s="8" t="n">
        <v>-0.1541962907136945</v>
      </c>
      <c r="D30" s="8" t="n">
        <v>-0.1687632221515504</v>
      </c>
      <c r="E30" s="8" t="n">
        <v>-0.6067979935451572</v>
      </c>
      <c r="F30" s="8" t="n">
        <v>-0.3486862874925084</v>
      </c>
      <c r="G30" s="8" t="n">
        <v>0.5334519008549676</v>
      </c>
      <c r="H30" s="8" t="n">
        <v>-0.2587247548220294</v>
      </c>
      <c r="I30" s="8" t="n">
        <v>-0.2350102120703428</v>
      </c>
    </row>
    <row r="31">
      <c r="A31" s="16" t="n">
        <v>45387</v>
      </c>
      <c r="B31" s="8" t="n">
        <v>-0.5329525788294724</v>
      </c>
      <c r="C31" s="8" t="n">
        <v>-0.2335705923486217</v>
      </c>
      <c r="D31" s="8" t="n">
        <v>-0.1764256025332614</v>
      </c>
      <c r="E31" s="8" t="n">
        <v>-0.6513274924290824</v>
      </c>
      <c r="F31" s="8" t="n">
        <v>-0.3187936259351711</v>
      </c>
      <c r="G31" s="8" t="n">
        <v>0.502627540531924</v>
      </c>
      <c r="H31" s="8" t="n">
        <v>-0.2761821091418964</v>
      </c>
      <c r="I31" s="8" t="n">
        <v>-0.2438304644629118</v>
      </c>
    </row>
    <row r="32">
      <c r="A32" s="16" t="n">
        <v>45394</v>
      </c>
      <c r="B32" s="8" t="n">
        <v>-0.4968843956024926</v>
      </c>
      <c r="C32" s="8" t="n">
        <v>-0.3013477384130586</v>
      </c>
      <c r="D32" s="8" t="n">
        <v>-0.2074653088077263</v>
      </c>
      <c r="E32" s="8" t="n">
        <v>-0.6195796594301719</v>
      </c>
      <c r="F32" s="8" t="n">
        <v>-0.339010451686153</v>
      </c>
      <c r="G32" s="8" t="n">
        <v>0.5542514140895067</v>
      </c>
      <c r="H32" s="8" t="n">
        <v>-0.3201790950496058</v>
      </c>
      <c r="I32" s="8" t="n">
        <v>-0.2242668058921343</v>
      </c>
    </row>
    <row r="33">
      <c r="A33" s="16" t="n">
        <v>45401</v>
      </c>
      <c r="B33" s="8" t="n">
        <v>-0.5306590457166457</v>
      </c>
      <c r="C33" s="8" t="n">
        <v>-0.3218639466483577</v>
      </c>
      <c r="D33" s="8" t="n">
        <v>-0.2187774054711348</v>
      </c>
      <c r="E33" s="8" t="n">
        <v>-0.632284555416682</v>
      </c>
      <c r="F33" s="8" t="n">
        <v>-0.3699564062306023</v>
      </c>
      <c r="G33" s="8" t="n">
        <v>0.511048907111191</v>
      </c>
      <c r="H33" s="8" t="n">
        <v>-0.34591017643948</v>
      </c>
      <c r="I33" s="8" t="n">
        <v>-0.2509670148961888</v>
      </c>
    </row>
    <row r="34">
      <c r="A34" s="16" t="n">
        <v>45408</v>
      </c>
      <c r="B34" s="8" t="n">
        <v>-0.5252246569327035</v>
      </c>
      <c r="C34" s="8" t="n">
        <v>-0.367374107617733</v>
      </c>
      <c r="D34" s="8" t="n">
        <v>-0.3983866433239226</v>
      </c>
      <c r="E34" s="8" t="n">
        <v>-0.6562414633537916</v>
      </c>
      <c r="F34" s="8" t="n">
        <v>-0.4378163756723149</v>
      </c>
      <c r="G34" s="8" t="n">
        <v>0.4532266289219532</v>
      </c>
      <c r="H34" s="8" t="n">
        <v>-0.4181015094981188</v>
      </c>
      <c r="I34" s="8" t="n">
        <v>-0.2879518336787994</v>
      </c>
    </row>
    <row r="35">
      <c r="A35" s="16" t="n">
        <v>45415</v>
      </c>
      <c r="B35" s="8" t="n">
        <v>-0.5154395293446117</v>
      </c>
      <c r="C35" s="8" t="n">
        <v>-0.3529883838708902</v>
      </c>
      <c r="D35" s="8" t="n">
        <v>-0.3867337808002835</v>
      </c>
      <c r="E35" s="8" t="n">
        <v>-0.6654824893525028</v>
      </c>
      <c r="F35" s="8" t="n">
        <v>-0.4161159749673056</v>
      </c>
      <c r="G35" s="8" t="n">
        <v>0.4658546298082632</v>
      </c>
      <c r="H35" s="8" t="n">
        <v>-0.4014248778837946</v>
      </c>
      <c r="I35" s="8" t="n">
        <v>-0.2807164630183045</v>
      </c>
    </row>
    <row r="36">
      <c r="A36" s="16" t="n">
        <v>45422</v>
      </c>
      <c r="B36" s="8" t="n">
        <v>-0.4318230239254428</v>
      </c>
      <c r="C36" s="8" t="n">
        <v>-0.2824894949038962</v>
      </c>
      <c r="D36" s="8" t="n">
        <v>-0.05288370799632776</v>
      </c>
      <c r="E36" s="8" t="n">
        <v>-0.6402048387504722</v>
      </c>
      <c r="F36" s="8" t="n">
        <v>-0.2332292919568628</v>
      </c>
      <c r="G36" s="8" t="n">
        <v>0.4940617451604117</v>
      </c>
      <c r="H36" s="8" t="n">
        <v>-0.2578593934303795</v>
      </c>
      <c r="I36" s="8" t="n">
        <v>-0.09106095888203118</v>
      </c>
    </row>
    <row r="37">
      <c r="A37" s="16" t="n">
        <v>45429</v>
      </c>
      <c r="B37" s="8" t="n">
        <v>-0.4427190465381454</v>
      </c>
      <c r="C37" s="8" t="n">
        <v>-0.2638012912382782</v>
      </c>
      <c r="D37" s="8" t="n">
        <v>-0.07836172319710862</v>
      </c>
      <c r="E37" s="8" t="n">
        <v>-0.6766403715569711</v>
      </c>
      <c r="F37" s="8" t="n">
        <v>-0.2702856820551944</v>
      </c>
      <c r="G37" s="8" t="n">
        <v>0.4879416625573816</v>
      </c>
      <c r="H37" s="8" t="n">
        <v>-0.2670434866467363</v>
      </c>
      <c r="I37" s="8" t="n">
        <v>-0.183337601129799</v>
      </c>
    </row>
    <row r="38">
      <c r="A38" s="16" t="n">
        <v>45436</v>
      </c>
      <c r="B38" s="8" t="n">
        <v>-0.4698310508310636</v>
      </c>
      <c r="C38" s="8" t="n">
        <v>-0.275075234665652</v>
      </c>
      <c r="D38" s="8" t="n">
        <v>-0.1294282297018723</v>
      </c>
      <c r="E38" s="8" t="n">
        <v>-0.7292373324216198</v>
      </c>
      <c r="F38" s="8" t="n">
        <v>-0.4540265551947786</v>
      </c>
      <c r="G38" s="8" t="n">
        <v>0.3265398869542132</v>
      </c>
      <c r="H38" s="8" t="n">
        <v>-0.3645508949302153</v>
      </c>
      <c r="I38" s="8" t="n">
        <v>-0.2529770702436353</v>
      </c>
    </row>
    <row r="39">
      <c r="A39" s="16" t="n">
        <v>45443</v>
      </c>
      <c r="B39" s="8" t="n">
        <v>-0.4598476938167707</v>
      </c>
      <c r="C39" s="8" t="n">
        <v>-0.357434516304869</v>
      </c>
      <c r="D39" s="8" t="n">
        <v>-0.2656960087655699</v>
      </c>
      <c r="E39" s="8" t="n">
        <v>-0.7355156513151503</v>
      </c>
      <c r="F39" s="8" t="n">
        <v>-0.5127110644028425</v>
      </c>
      <c r="G39" s="8" t="n">
        <v>0.1876906746344911</v>
      </c>
      <c r="H39" s="8" t="n">
        <v>-0.4086411050608199</v>
      </c>
      <c r="I39" s="8" t="n">
        <v>-0.32186212939604</v>
      </c>
    </row>
    <row r="40">
      <c r="A40" s="16" t="n">
        <v>45450</v>
      </c>
      <c r="B40" s="8" t="n">
        <v>-0.5292207395780528</v>
      </c>
      <c r="C40" s="8" t="n">
        <v>-0.4226926163370723</v>
      </c>
      <c r="D40" s="8" t="n">
        <v>-0.3256000522364061</v>
      </c>
      <c r="E40" s="8" t="n">
        <v>-0.7555666159257692</v>
      </c>
      <c r="F40" s="8" t="n">
        <v>-0.4561555105715517</v>
      </c>
      <c r="G40" s="8" t="n">
        <v>0.08880432358405477</v>
      </c>
      <c r="H40" s="8" t="n">
        <v>-0.439424063454312</v>
      </c>
      <c r="I40" s="8" t="n">
        <v>-0.3378673733969733</v>
      </c>
    </row>
    <row r="41">
      <c r="A41" s="16" t="n">
        <v>45457</v>
      </c>
      <c r="B41" s="8" t="n">
        <v>-0.4958640512674007</v>
      </c>
      <c r="C41" s="8" t="n">
        <v>-0.4041037181980699</v>
      </c>
      <c r="D41" s="8" t="n">
        <v>-0.3128352023173128</v>
      </c>
      <c r="E41" s="8" t="n">
        <v>-0.7283715267057277</v>
      </c>
      <c r="F41" s="8" t="n">
        <v>-0.4669236263223681</v>
      </c>
      <c r="G41" s="8" t="n">
        <v>0.09736333032111805</v>
      </c>
      <c r="H41" s="8" t="n">
        <v>-0.435513672260219</v>
      </c>
      <c r="I41" s="8" t="n">
        <v>-0.2933617597338203</v>
      </c>
    </row>
    <row r="42">
      <c r="A42" s="16" t="n">
        <v>45464</v>
      </c>
      <c r="B42" s="8" t="n">
        <v>-0.5513571324307004</v>
      </c>
      <c r="C42" s="8" t="n">
        <v>-0.4242004327824695</v>
      </c>
      <c r="D42" s="8" t="n">
        <v>-0.201080808024844</v>
      </c>
      <c r="E42" s="8" t="n">
        <v>-0.7291934630164526</v>
      </c>
      <c r="F42" s="8" t="n">
        <v>-0.490493367473868</v>
      </c>
      <c r="G42" s="8" t="n">
        <v>0.02903389246170899</v>
      </c>
      <c r="H42" s="8" t="n">
        <v>-0.4573469001281687</v>
      </c>
      <c r="I42" s="8" t="n">
        <v>-0.3371060094094299</v>
      </c>
    </row>
    <row r="43">
      <c r="A43" s="16" t="n">
        <v>45471</v>
      </c>
      <c r="B43" s="8" t="n">
        <v>-0.5534627332657343</v>
      </c>
      <c r="C43" s="8" t="n">
        <v>-0.4268833998029664</v>
      </c>
      <c r="D43" s="8" t="n">
        <v>-0.1648504453330705</v>
      </c>
      <c r="E43" s="8" t="n">
        <v>-0.7224016170270942</v>
      </c>
      <c r="F43" s="8" t="n">
        <v>-0.4885326257826325</v>
      </c>
      <c r="G43" s="8" t="n">
        <v>0.02636309938401275</v>
      </c>
      <c r="H43" s="8" t="n">
        <v>-0.4577080127927994</v>
      </c>
      <c r="I43" s="8" t="n">
        <v>-0.3349059519983111</v>
      </c>
    </row>
    <row r="44">
      <c r="A44" s="16" t="n">
        <v>45478</v>
      </c>
      <c r="B44" s="8" t="n">
        <v>-0.6106754964274276</v>
      </c>
      <c r="C44" s="8" t="n">
        <v>-0.4568200242540975</v>
      </c>
      <c r="D44" s="8" t="n">
        <v>-0.1765803767609719</v>
      </c>
      <c r="E44" s="8" t="n">
        <v>-0.8007195982842699</v>
      </c>
      <c r="F44" s="8" t="n">
        <v>-0.5174634091380838</v>
      </c>
      <c r="G44" s="8" t="n">
        <v>0.002429685548399666</v>
      </c>
      <c r="H44" s="8" t="n">
        <v>-0.4871417166960906</v>
      </c>
      <c r="I44" s="8" t="n">
        <v>-0.4423173840776244</v>
      </c>
    </row>
    <row r="45">
      <c r="A45" s="16" t="n">
        <v>45485</v>
      </c>
      <c r="B45" s="8" t="n">
        <v>-0.6656779517105332</v>
      </c>
      <c r="C45" s="8" t="n">
        <v>-0.4832443074571443</v>
      </c>
      <c r="D45" s="8" t="n">
        <v>-0.03519409011467706</v>
      </c>
      <c r="E45" s="8" t="n">
        <v>-0.7162387453942226</v>
      </c>
      <c r="F45" s="8" t="n">
        <v>-0.3751833096835826</v>
      </c>
      <c r="G45" s="8" t="n">
        <v>0.119789982824335</v>
      </c>
      <c r="H45" s="8" t="n">
        <v>-0.4292138085703635</v>
      </c>
      <c r="I45" s="8" t="n">
        <v>-0.3929063421664748</v>
      </c>
    </row>
    <row r="46">
      <c r="A46" s="16" t="n">
        <v>45492</v>
      </c>
      <c r="B46" s="8" t="n">
        <v>-0.4986150186506546</v>
      </c>
      <c r="C46" s="8" t="n">
        <v>-0.4300965757661779</v>
      </c>
      <c r="D46" s="8" t="n">
        <v>-0.01900111846531956</v>
      </c>
      <c r="E46" s="8" t="n">
        <v>-0.6530243354555016</v>
      </c>
      <c r="F46" s="8" t="n">
        <v>-0.4028686012081772</v>
      </c>
      <c r="G46" s="8" t="n">
        <v>0.2254622345013918</v>
      </c>
      <c r="H46" s="8" t="n">
        <v>-0.4164825884871776</v>
      </c>
      <c r="I46" s="8" t="n">
        <v>-0.3064464531244922</v>
      </c>
    </row>
    <row r="47">
      <c r="A47" s="16" t="n">
        <v>45499</v>
      </c>
      <c r="B47" s="8" t="n">
        <v>-0.4837456722089264</v>
      </c>
      <c r="C47" s="8" t="n">
        <v>-0.4481607790428976</v>
      </c>
      <c r="D47" s="8" t="n">
        <v>0.03310271934582881</v>
      </c>
      <c r="E47" s="8" t="n">
        <v>-0.6330306294566411</v>
      </c>
      <c r="F47" s="8" t="n">
        <v>-0.3573010996232605</v>
      </c>
      <c r="G47" s="8" t="n">
        <v>0.1908150387942132</v>
      </c>
      <c r="H47" s="8" t="n">
        <v>-0.4027309393330791</v>
      </c>
      <c r="I47" s="8" t="n">
        <v>-0.2698539234983913</v>
      </c>
    </row>
    <row r="48">
      <c r="A48" s="16" t="n">
        <v>45506</v>
      </c>
      <c r="B48" s="8" t="n">
        <v>-0.4672495639996824</v>
      </c>
      <c r="C48" s="8" t="n">
        <v>-0.4749465810633856</v>
      </c>
      <c r="D48" s="8" t="n">
        <v>0.1116278792854751</v>
      </c>
      <c r="E48" s="8" t="n">
        <v>-0.6785108810302085</v>
      </c>
      <c r="F48" s="8" t="n">
        <v>-0.2177516835455204</v>
      </c>
      <c r="G48" s="8" t="n">
        <v>0.1974679416658236</v>
      </c>
      <c r="H48" s="8" t="n">
        <v>-0.3425006237726014</v>
      </c>
      <c r="I48" s="8" t="n">
        <v>-0.1895309724614718</v>
      </c>
    </row>
    <row r="49">
      <c r="A49" s="16" t="n">
        <v>45513</v>
      </c>
      <c r="B49" s="8" t="n">
        <v>-0.3577961041561952</v>
      </c>
      <c r="C49" s="8" t="n">
        <v>-0.4956297066691028</v>
      </c>
      <c r="D49" s="8" t="n">
        <v>0.1278649245106958</v>
      </c>
      <c r="E49" s="8" t="n">
        <v>-0.6780230212486352</v>
      </c>
      <c r="F49" s="8" t="n">
        <v>-0.1723629432433625</v>
      </c>
      <c r="G49" s="8" t="n">
        <v>0.1947632551200799</v>
      </c>
      <c r="H49" s="8" t="n">
        <v>-0.2650795236997789</v>
      </c>
      <c r="I49" s="8" t="n">
        <v>-0.05172023404028418</v>
      </c>
    </row>
    <row r="50">
      <c r="A50" s="16" t="n">
        <v>45520</v>
      </c>
      <c r="B50" s="8" t="n">
        <v>-0.332191696971524</v>
      </c>
      <c r="C50" s="8" t="n">
        <v>-0.5232111650231204</v>
      </c>
      <c r="D50" s="8" t="n">
        <v>0.003229918584540196</v>
      </c>
      <c r="E50" s="8" t="n">
        <v>-0.704710698296184</v>
      </c>
      <c r="F50" s="8" t="n">
        <v>-0.32687556341275</v>
      </c>
      <c r="G50" s="8" t="n">
        <v>0.1919792315056763</v>
      </c>
      <c r="H50" s="8" t="n">
        <v>-0.329533630192137</v>
      </c>
      <c r="I50" s="8" t="n">
        <v>-0.1591145618253894</v>
      </c>
    </row>
    <row r="51">
      <c r="A51" s="16" t="n">
        <v>45527</v>
      </c>
      <c r="B51" s="8" t="n">
        <v>-0.3596890697567642</v>
      </c>
      <c r="C51" s="8" t="n">
        <v>-0.4674614196198882</v>
      </c>
      <c r="D51" s="8" t="n">
        <v>0.01523310821576631</v>
      </c>
      <c r="E51" s="8" t="n">
        <v>-0.7414984304956221</v>
      </c>
      <c r="F51" s="8" t="n">
        <v>-0.3718955173554779</v>
      </c>
      <c r="G51" s="8" t="n">
        <v>0.205833675830289</v>
      </c>
      <c r="H51" s="8" t="n">
        <v>-0.3657922935561211</v>
      </c>
      <c r="I51" s="8" t="n">
        <v>-0.1688916288567123</v>
      </c>
    </row>
    <row r="52">
      <c r="A52" s="16" t="n">
        <v>45534</v>
      </c>
      <c r="B52" s="8" t="n">
        <v>-0.3702982214166878</v>
      </c>
      <c r="C52" s="8" t="n">
        <v>-0.4687475412348479</v>
      </c>
      <c r="D52" s="8" t="n">
        <v>-6.887595883425386e-05</v>
      </c>
      <c r="E52" s="8" t="n">
        <v>-0.7240836375937247</v>
      </c>
      <c r="F52" s="8" t="n">
        <v>-0.3956290582594196</v>
      </c>
      <c r="G52" s="8" t="n">
        <v>0.1918320539699772</v>
      </c>
      <c r="H52" s="8" t="n">
        <v>-0.3829636398380537</v>
      </c>
      <c r="I52" s="8" t="n">
        <v>-0.1874037816524832</v>
      </c>
    </row>
    <row r="53">
      <c r="A53" s="16" t="n">
        <v>45541</v>
      </c>
      <c r="B53" s="8" t="n">
        <v>-0.3287931881773115</v>
      </c>
      <c r="C53" s="8" t="n">
        <v>-0.55547740942375</v>
      </c>
      <c r="D53" s="8" t="n">
        <v>-0.04263009902257436</v>
      </c>
      <c r="E53" s="8" t="n">
        <v>-0.5313595195235058</v>
      </c>
      <c r="F53" s="8" t="n">
        <v>-0.2744389712117233</v>
      </c>
      <c r="G53" s="8" t="n">
        <v>-0.007380708068150294</v>
      </c>
      <c r="H53" s="8" t="n">
        <v>-0.3016160796945174</v>
      </c>
      <c r="I53" s="8" t="n">
        <v>-0.181587098422858</v>
      </c>
    </row>
    <row r="54">
      <c r="A54" s="16" t="n">
        <v>45548</v>
      </c>
      <c r="B54" s="8" t="n">
        <v>-0.1371074675530267</v>
      </c>
      <c r="C54" s="8" t="n">
        <v>-0.4768136943427305</v>
      </c>
      <c r="D54" s="8" t="n">
        <v>-0.02169388624893204</v>
      </c>
      <c r="E54" s="8" t="n">
        <v>-0.5664310762015368</v>
      </c>
      <c r="F54" s="8" t="n">
        <v>-0.07878997721044838</v>
      </c>
      <c r="G54" s="8" t="n">
        <v>-0.08526884960550102</v>
      </c>
      <c r="H54" s="8" t="n">
        <v>-0.1111881585792639</v>
      </c>
      <c r="I54" s="8" t="n">
        <v>-0.1723611865436737</v>
      </c>
    </row>
    <row r="55">
      <c r="A55" s="16" t="n">
        <v>45555</v>
      </c>
      <c r="B55" s="8" t="n">
        <v>-0.2338482171071914</v>
      </c>
      <c r="C55" s="8" t="n">
        <v>-0.5705613266184917</v>
      </c>
      <c r="D55" s="8" t="n">
        <v>-0.07139060990410442</v>
      </c>
      <c r="E55" s="8" t="n">
        <v>-0.7702653951581122</v>
      </c>
      <c r="F55" s="8" t="n">
        <v>-0.08401584405824745</v>
      </c>
      <c r="G55" s="8" t="n">
        <v>-0.2040555720588583</v>
      </c>
      <c r="H55" s="8" t="n">
        <v>-0.2189518945830248</v>
      </c>
      <c r="I55" s="8" t="n">
        <v>-0.2557244582783557</v>
      </c>
    </row>
    <row r="56">
      <c r="A56" s="16" t="n">
        <v>45562</v>
      </c>
      <c r="B56" s="8" t="n">
        <v>-0.1614983373558321</v>
      </c>
      <c r="C56" s="8" t="n">
        <v>-0.5388392575965234</v>
      </c>
      <c r="D56" s="8" t="n">
        <v>-0.09115023479444878</v>
      </c>
      <c r="E56" s="8" t="n">
        <v>-0.812579595101112</v>
      </c>
      <c r="F56" s="8" t="n">
        <v>-0.09239167970941332</v>
      </c>
      <c r="G56" s="8" t="n">
        <v>-0.2933924152328412</v>
      </c>
      <c r="H56" s="8" t="n">
        <v>-0.2274453762943366</v>
      </c>
      <c r="I56" s="8" t="n">
        <v>-0.2977303831172079</v>
      </c>
    </row>
    <row r="57">
      <c r="A57" s="16" t="n">
        <v>45569</v>
      </c>
      <c r="B57" s="8" t="n">
        <v>-0.1805790141686073</v>
      </c>
      <c r="C57" s="8" t="n">
        <v>-0.5349952777985549</v>
      </c>
      <c r="D57" s="8" t="n">
        <v>-0.07299414761141898</v>
      </c>
      <c r="E57" s="8" t="n">
        <v>-0.7905289763742471</v>
      </c>
      <c r="F57" s="8" t="n">
        <v>-0.07694545222925282</v>
      </c>
      <c r="G57" s="8" t="n">
        <v>-0.3555847084246635</v>
      </c>
      <c r="H57" s="8" t="n">
        <v>-0.2680818612966354</v>
      </c>
      <c r="I57" s="8" t="n">
        <v>-0.2505010191838558</v>
      </c>
    </row>
    <row r="58">
      <c r="A58" s="16" t="n">
        <v>45576</v>
      </c>
      <c r="B58" s="8" t="n">
        <v>-0.1837714632276028</v>
      </c>
      <c r="C58" s="8" t="n">
        <v>-0.5605970726343563</v>
      </c>
      <c r="D58" s="8" t="n">
        <v>-0.2770880273229401</v>
      </c>
      <c r="E58" s="8" t="n">
        <v>-0.7979525212832116</v>
      </c>
      <c r="F58" s="8" t="n">
        <v>-0.2141102053899475</v>
      </c>
      <c r="G58" s="8" t="n">
        <v>-0.3300622510689842</v>
      </c>
      <c r="H58" s="8" t="n">
        <v>-0.3035751391959622</v>
      </c>
      <c r="I58" s="8" t="n">
        <v>-0.3328998609962347</v>
      </c>
    </row>
    <row r="59">
      <c r="A59" s="16" t="n">
        <v>45583</v>
      </c>
      <c r="B59" s="8" t="n">
        <v>-0.07342922772873976</v>
      </c>
      <c r="C59" s="8" t="n">
        <v>-0.5500925678301907</v>
      </c>
      <c r="D59" s="8" t="n">
        <v>-0.2627710263847051</v>
      </c>
      <c r="E59" s="8" t="n">
        <v>-0.6264078086437362</v>
      </c>
      <c r="F59" s="8" t="n">
        <v>-0.3042834071857715</v>
      </c>
      <c r="G59" s="8" t="n">
        <v>-0.6076531154622059</v>
      </c>
      <c r="H59" s="8" t="n">
        <v>-0.4271879875079811</v>
      </c>
      <c r="I59" s="8" t="n">
        <v>-0.2862738235406572</v>
      </c>
    </row>
    <row r="60">
      <c r="A60" s="16" t="n">
        <v>45590</v>
      </c>
      <c r="B60" s="8" t="n">
        <v>-0.006477724886872364</v>
      </c>
      <c r="C60" s="8" t="n">
        <v>-0.5242764682059374</v>
      </c>
      <c r="D60" s="8" t="n">
        <v>-0.2441270885204475</v>
      </c>
      <c r="E60" s="8" t="n">
        <v>-0.6820249026994594</v>
      </c>
      <c r="F60" s="8" t="n">
        <v>-0.3223014775617272</v>
      </c>
      <c r="G60" s="8" t="n">
        <v>-0.6158222309959859</v>
      </c>
      <c r="H60" s="8" t="n">
        <v>-0.4232889728838323</v>
      </c>
      <c r="I60" s="8" t="n">
        <v>-0.28859389008583</v>
      </c>
    </row>
    <row r="61">
      <c r="A61" s="16" t="n">
        <v>45597</v>
      </c>
      <c r="B61" s="8" t="n">
        <v>-0.1453008911605745</v>
      </c>
      <c r="C61" s="8" t="n">
        <v>-0.5039206655617184</v>
      </c>
      <c r="D61" s="8" t="n">
        <v>-0.2143006321583698</v>
      </c>
      <c r="E61" s="8" t="n">
        <v>-0.5517492208953493</v>
      </c>
      <c r="F61" s="8" t="n">
        <v>-0.2481054521143078</v>
      </c>
      <c r="G61" s="8" t="n">
        <v>-0.7130097057977876</v>
      </c>
      <c r="H61" s="8" t="n">
        <v>-0.3760130588380131</v>
      </c>
      <c r="I61" s="8" t="n">
        <v>-0.2044686531506711</v>
      </c>
    </row>
    <row r="62">
      <c r="A62" s="16" t="n">
        <v>45604</v>
      </c>
      <c r="B62" s="8" t="n">
        <v>-0.1623651769366158</v>
      </c>
      <c r="C62" s="8" t="n">
        <v>-0.4874648042368633</v>
      </c>
      <c r="D62" s="8" t="n">
        <v>-0.2814027952111419</v>
      </c>
      <c r="E62" s="8" t="n">
        <v>-0.4793144937669594</v>
      </c>
      <c r="F62" s="8" t="n">
        <v>-0.3016835972467515</v>
      </c>
      <c r="G62" s="8" t="n">
        <v>-0.6771456593156131</v>
      </c>
      <c r="H62" s="8" t="n">
        <v>-0.3904990455068554</v>
      </c>
      <c r="I62" s="8" t="n">
        <v>-0.1907164209323603</v>
      </c>
    </row>
    <row r="63">
      <c r="A63" s="16" t="n">
        <v>45611</v>
      </c>
      <c r="B63" s="8" t="n">
        <v>0.273296790214524</v>
      </c>
      <c r="C63" s="8" t="n">
        <v>-0.08433051541445086</v>
      </c>
      <c r="D63" s="8" t="n">
        <v>0.3582313223421927</v>
      </c>
      <c r="E63" s="8" t="n">
        <v>0.2959450414860947</v>
      </c>
      <c r="F63" s="8" t="n">
        <v>0.5471740085003151</v>
      </c>
      <c r="G63" s="8" t="n">
        <v>0.06246385427775492</v>
      </c>
      <c r="H63" s="8" t="n">
        <v>0.2846209158503094</v>
      </c>
      <c r="I63" s="8" t="n">
        <v>0.5835745862276891</v>
      </c>
    </row>
    <row r="64">
      <c r="A64" s="16" t="n">
        <v>45618</v>
      </c>
      <c r="B64" s="8" t="n">
        <v>0.2438236753540965</v>
      </c>
      <c r="C64" s="8" t="n">
        <v>-0.1399347308737738</v>
      </c>
      <c r="D64" s="8" t="n">
        <v>0.1526978153927528</v>
      </c>
      <c r="E64" s="8" t="n">
        <v>0.2004770145459142</v>
      </c>
      <c r="F64" s="8" t="n">
        <v>0.5659227234890061</v>
      </c>
      <c r="G64" s="8" t="n">
        <v>-0.1267962092658834</v>
      </c>
      <c r="H64" s="8" t="n">
        <v>0.1765874149693335</v>
      </c>
      <c r="I64" s="8" t="n">
        <v>0.4714476845045428</v>
      </c>
    </row>
    <row r="65">
      <c r="A65" s="16" t="n">
        <v>45625</v>
      </c>
      <c r="B65" s="8" t="n">
        <v>0.2431542442844116</v>
      </c>
      <c r="C65" s="8" t="n">
        <v>-0.1292290254837039</v>
      </c>
      <c r="D65" s="8" t="n">
        <v>0.1728971776890033</v>
      </c>
      <c r="E65" s="8" t="n">
        <v>0.1939528809145457</v>
      </c>
      <c r="F65" s="8" t="n">
        <v>0.5737623627495638</v>
      </c>
      <c r="G65" s="8" t="n">
        <v>-0.07700726052652614</v>
      </c>
      <c r="H65" s="8" t="n">
        <v>0.1834250293017745</v>
      </c>
      <c r="I65" s="8" t="n">
        <v>0.501542483519526</v>
      </c>
    </row>
    <row r="66">
      <c r="A66" s="16" t="n">
        <v>45632</v>
      </c>
      <c r="B66" s="8" t="n">
        <v>0.2056775130675717</v>
      </c>
      <c r="C66" s="8" t="n">
        <v>-0.1272843551833707</v>
      </c>
      <c r="D66" s="8" t="n">
        <v>0.1855546774311519</v>
      </c>
      <c r="E66" s="8" t="n">
        <v>0.1912577865385673</v>
      </c>
      <c r="F66" s="8" t="n">
        <v>0.5601495363747029</v>
      </c>
      <c r="G66" s="8" t="n">
        <v>-0.06461633401349931</v>
      </c>
      <c r="H66" s="8" t="n">
        <v>0.1884062319848596</v>
      </c>
      <c r="I66" s="8" t="n">
        <v>0.4992112117486655</v>
      </c>
    </row>
    <row r="67">
      <c r="A67" s="16" t="n">
        <v>45639</v>
      </c>
      <c r="B67" s="8" t="n">
        <v>0.2835554882159165</v>
      </c>
      <c r="C67" s="8" t="n">
        <v>-0.08084386182528364</v>
      </c>
      <c r="D67" s="8" t="n">
        <v>0.2921628231665996</v>
      </c>
      <c r="E67" s="8" t="n">
        <v>0.2410787214743957</v>
      </c>
      <c r="F67" s="8" t="n">
        <v>0.5896533045727355</v>
      </c>
      <c r="G67" s="8" t="n">
        <v>0.07421991900478411</v>
      </c>
      <c r="H67" s="8" t="n">
        <v>0.2623171048451561</v>
      </c>
      <c r="I67" s="8" t="n">
        <v>0.5741901175996561</v>
      </c>
    </row>
    <row r="68">
      <c r="A68" s="16" t="n">
        <v>45646</v>
      </c>
      <c r="B68" s="8" t="n">
        <v>0.259284940114737</v>
      </c>
      <c r="C68" s="8" t="n">
        <v>-0.02387938346300219</v>
      </c>
      <c r="D68" s="8" t="n">
        <v>0.3528948080454743</v>
      </c>
      <c r="E68" s="8" t="n">
        <v>0.1904023695816228</v>
      </c>
      <c r="F68" s="8" t="n">
        <v>0.5951985055790251</v>
      </c>
      <c r="G68" s="8" t="n">
        <v>0.1754364932965231</v>
      </c>
      <c r="H68" s="8" t="n">
        <v>0.2248436548481799</v>
      </c>
      <c r="I68" s="8" t="n">
        <v>0.5884479323377971</v>
      </c>
    </row>
    <row r="69">
      <c r="A69" s="16" t="n">
        <v>45653</v>
      </c>
      <c r="B69" s="8" t="n">
        <v>0.2588642786317763</v>
      </c>
      <c r="C69" s="8" t="n">
        <v>-0.03344445302811043</v>
      </c>
      <c r="D69" s="8" t="n">
        <v>0.3800786440652303</v>
      </c>
      <c r="E69" s="8" t="n">
        <v>0.2074033308652804</v>
      </c>
      <c r="F69" s="8" t="n">
        <v>0.5910990492326204</v>
      </c>
      <c r="G69" s="8" t="n">
        <v>0.1734011178488726</v>
      </c>
      <c r="H69" s="8" t="n">
        <v>0.2331338047485284</v>
      </c>
      <c r="I69" s="8" t="n">
        <v>0.5937572224979468</v>
      </c>
    </row>
    <row r="70">
      <c r="A70" s="16" t="n">
        <v>45660</v>
      </c>
      <c r="B70" s="8" t="n">
        <v>0.09262752142000509</v>
      </c>
      <c r="C70" s="8" t="n">
        <v>-0.0008076490612380329</v>
      </c>
      <c r="D70" s="8" t="n">
        <v>0.477175215673572</v>
      </c>
      <c r="E70" s="8" t="n">
        <v>0.3319189733482368</v>
      </c>
      <c r="F70" s="8" t="n">
        <v>0.7682592507426435</v>
      </c>
      <c r="G70" s="8" t="n">
        <v>0.1268914883461599</v>
      </c>
      <c r="H70" s="8" t="n">
        <v>0.2294052308471983</v>
      </c>
      <c r="I70" s="8" t="n">
        <v>0.607818863209334</v>
      </c>
    </row>
    <row r="71">
      <c r="A71" s="16" t="n">
        <v>45667</v>
      </c>
      <c r="B71" s="8" t="n">
        <v>0.09388813312448883</v>
      </c>
      <c r="C71" s="8" t="n">
        <v>0.002819556696348463</v>
      </c>
      <c r="D71" s="8" t="n">
        <v>0.3964161214166583</v>
      </c>
      <c r="E71" s="8" t="n">
        <v>0.2672890987194089</v>
      </c>
      <c r="F71" s="8" t="n">
        <v>0.7806568772959511</v>
      </c>
      <c r="G71" s="8" t="n">
        <v>0.1159150607231096</v>
      </c>
      <c r="H71" s="8" t="n">
        <v>0.1916020797212593</v>
      </c>
      <c r="I71" s="8" t="n">
        <v>0.5712318596937584</v>
      </c>
    </row>
    <row r="72">
      <c r="A72" s="16" t="n">
        <v>45674</v>
      </c>
      <c r="B72" s="8" t="n">
        <v>0.2708401758261421</v>
      </c>
      <c r="C72" s="8" t="n">
        <v>-0.06414139008403584</v>
      </c>
      <c r="D72" s="8" t="n">
        <v>0.3753363723376028</v>
      </c>
      <c r="E72" s="8" t="n">
        <v>0.399771616431957</v>
      </c>
      <c r="F72" s="8" t="n">
        <v>0.8342134541065349</v>
      </c>
      <c r="G72" s="8" t="n">
        <v>-0.004170561056259754</v>
      </c>
      <c r="H72" s="8" t="n">
        <v>0.3230882740818725</v>
      </c>
      <c r="I72" s="8" t="n">
        <v>0.6094113537924594</v>
      </c>
    </row>
    <row r="73">
      <c r="A73" s="16" t="n">
        <v>45681</v>
      </c>
      <c r="B73" s="8" t="n">
        <v>0.2614594660012226</v>
      </c>
      <c r="C73" s="8" t="n">
        <v>-0.0660363519314647</v>
      </c>
      <c r="D73" s="8" t="n">
        <v>0.3673621231935404</v>
      </c>
      <c r="E73" s="8" t="n">
        <v>0.4007805596377245</v>
      </c>
      <c r="F73" s="8" t="n">
        <v>0.834461896496682</v>
      </c>
      <c r="G73" s="8" t="n">
        <v>-0.0166988359941801</v>
      </c>
      <c r="H73" s="8" t="n">
        <v>0.3144107945973815</v>
      </c>
      <c r="I73" s="8" t="n">
        <v>0.60250777360913</v>
      </c>
    </row>
    <row r="74">
      <c r="A74" s="16" t="n">
        <v>45688</v>
      </c>
      <c r="B74" s="8" t="n">
        <v>0.6316139177820235</v>
      </c>
      <c r="C74" s="8" t="n">
        <v>0.1757757220618631</v>
      </c>
      <c r="D74" s="8" t="n">
        <v>0.7508351767435115</v>
      </c>
      <c r="E74" s="8" t="n">
        <v>0.9175277270862109</v>
      </c>
      <c r="F74" s="8" t="n">
        <v>1.304291158689983</v>
      </c>
      <c r="G74" s="8" t="n">
        <v>0.1940516711449618</v>
      </c>
      <c r="H74" s="8" t="n">
        <v>0.6912245472627675</v>
      </c>
      <c r="I74" s="8" t="n">
        <v>0.873459296959272</v>
      </c>
    </row>
    <row r="75">
      <c r="A75" s="16" t="n">
        <v>45695</v>
      </c>
      <c r="B75" s="8" t="n">
        <v>0.6489317430682447</v>
      </c>
      <c r="C75" s="8" t="n">
        <v>0.1814607594317141</v>
      </c>
      <c r="D75" s="8" t="n">
        <v>0.7575667274528776</v>
      </c>
      <c r="E75" s="8" t="n">
        <v>0.902824848601317</v>
      </c>
      <c r="F75" s="8" t="n">
        <v>1.223157565629749</v>
      </c>
      <c r="G75" s="8" t="n">
        <v>0.2065943308572459</v>
      </c>
      <c r="H75" s="8" t="n">
        <v>0.7032492352605612</v>
      </c>
      <c r="I75" s="8" t="n">
        <v>0.8690818216913966</v>
      </c>
    </row>
    <row r="76">
      <c r="A76" s="16" t="n">
        <v>45702</v>
      </c>
      <c r="B76" s="8" t="n">
        <v>0.625281612530646</v>
      </c>
      <c r="C76" s="8" t="n">
        <v>0.1439528082630056</v>
      </c>
      <c r="D76" s="8" t="n">
        <v>0.7136287829326626</v>
      </c>
      <c r="E76" s="8" t="n">
        <v>0.9578098661413627</v>
      </c>
      <c r="F76" s="8" t="n">
        <v>1.176461611149602</v>
      </c>
      <c r="G76" s="8" t="n">
        <v>0.1749614186760896</v>
      </c>
      <c r="H76" s="8" t="n">
        <v>0.6694551977316543</v>
      </c>
      <c r="I76" s="8" t="n">
        <v>0.8209619815145118</v>
      </c>
    </row>
    <row r="77">
      <c r="A77" s="16" t="n">
        <v>45709</v>
      </c>
      <c r="B77" s="8" t="n">
        <v>0.6689848483368761</v>
      </c>
      <c r="C77" s="8" t="n">
        <v>0.1463164136655189</v>
      </c>
      <c r="D77" s="8" t="n">
        <v>0.6012956825720859</v>
      </c>
      <c r="E77" s="8" t="n">
        <v>0.9834535209801173</v>
      </c>
      <c r="F77" s="8" t="n">
        <v>1.151921347982352</v>
      </c>
      <c r="G77" s="8" t="n">
        <v>0.2591264970001575</v>
      </c>
      <c r="H77" s="8" t="n">
        <v>0.635140265454481</v>
      </c>
      <c r="I77" s="8" t="n">
        <v>0.7792414968377397</v>
      </c>
    </row>
    <row r="78">
      <c r="A78" s="16" t="n">
        <v>45716</v>
      </c>
      <c r="B78" s="8" t="n">
        <v>0.5015964711214753</v>
      </c>
      <c r="C78" s="8" t="n">
        <v>0.06172215703008252</v>
      </c>
      <c r="D78" s="8" t="n">
        <v>0.7773297313873384</v>
      </c>
      <c r="E78" s="8" t="n">
        <v>1.045191454948011</v>
      </c>
      <c r="F78" s="8" t="n">
        <v>1.245198963785649</v>
      </c>
      <c r="G78" s="8" t="n">
        <v>0.2490952952895227</v>
      </c>
      <c r="H78" s="8" t="n">
        <v>0.6394631012544069</v>
      </c>
      <c r="I78" s="8" t="n">
        <v>0.7821829187747797</v>
      </c>
    </row>
    <row r="79">
      <c r="A79" s="16" t="n">
        <v>45723</v>
      </c>
      <c r="B79" s="8" t="n">
        <v>0.5646514099710739</v>
      </c>
      <c r="C79" s="8" t="n">
        <v>0.1108863856761656</v>
      </c>
      <c r="D79" s="8" t="n">
        <v>0.8628846631546353</v>
      </c>
      <c r="E79" s="8" t="n">
        <v>0.9432352701868665</v>
      </c>
      <c r="F79" s="8" t="n">
        <v>1.278607528811826</v>
      </c>
      <c r="G79" s="8" t="n">
        <v>0.2077645930313659</v>
      </c>
      <c r="H79" s="8" t="n">
        <v>0.7137680365628546</v>
      </c>
      <c r="I79" s="8" t="n">
        <v>0.8351700042921515</v>
      </c>
    </row>
    <row r="80">
      <c r="A80" s="16" t="n">
        <v>45730</v>
      </c>
      <c r="B80" s="8" t="n">
        <v>0.5807215582328726</v>
      </c>
      <c r="C80" s="8" t="n">
        <v>0.1019918283021675</v>
      </c>
      <c r="D80" s="8" t="n">
        <v>0.8652091100044028</v>
      </c>
      <c r="E80" s="8" t="n">
        <v>0.8315964308815681</v>
      </c>
      <c r="F80" s="8" t="n">
        <v>1.268565799331314</v>
      </c>
      <c r="G80" s="8" t="n">
        <v>0.2000432912761373</v>
      </c>
      <c r="H80" s="8" t="n">
        <v>0.7061589945572204</v>
      </c>
      <c r="I80" s="8" t="n">
        <v>0.8203544924804321</v>
      </c>
    </row>
    <row r="81">
      <c r="A81" s="16" t="n">
        <v>45737</v>
      </c>
      <c r="B81" s="8" t="n">
        <v>0.519534409014051</v>
      </c>
      <c r="C81" s="8" t="n">
        <v>0.07742694185755936</v>
      </c>
      <c r="D81" s="8" t="n">
        <v>0.8709711755565638</v>
      </c>
      <c r="E81" s="8" t="n">
        <v>0.7801095564149243</v>
      </c>
      <c r="F81" s="8" t="n">
        <v>1.265874942512079</v>
      </c>
      <c r="G81" s="8" t="n">
        <v>0.1927735340923204</v>
      </c>
      <c r="H81" s="8" t="n">
        <v>0.6498219827144877</v>
      </c>
      <c r="I81" s="8" t="n">
        <v>0.726556046379275</v>
      </c>
    </row>
    <row r="82">
      <c r="A82" s="16" t="n">
        <v>45744</v>
      </c>
      <c r="B82" s="8" t="n">
        <v>0.6370193680718976</v>
      </c>
      <c r="C82" s="8" t="n">
        <v>0.13029961619538</v>
      </c>
      <c r="D82" s="8" t="n">
        <v>0.8663921283878901</v>
      </c>
      <c r="E82" s="8" t="n">
        <v>0.8379473221097015</v>
      </c>
      <c r="F82" s="8" t="n">
        <v>1.273577888002725</v>
      </c>
      <c r="G82" s="8" t="n">
        <v>0.1392247657566517</v>
      </c>
      <c r="H82" s="8" t="n">
        <v>0.7374833450907996</v>
      </c>
      <c r="I82" s="8" t="n">
        <v>0.7558376216570706</v>
      </c>
    </row>
    <row r="83">
      <c r="A83" s="16" t="n">
        <v>45751</v>
      </c>
      <c r="B83" s="8" t="n">
        <v>0.7373713671760871</v>
      </c>
      <c r="C83" s="8" t="n">
        <v>0.1689322615129672</v>
      </c>
      <c r="D83" s="8" t="n">
        <v>0.8694464904496945</v>
      </c>
      <c r="E83" s="8" t="n">
        <v>1.066169096416888</v>
      </c>
      <c r="F83" s="8" t="n">
        <v>1.062601953208543</v>
      </c>
      <c r="G83" s="8" t="n">
        <v>0.1327544267461039</v>
      </c>
      <c r="H83" s="8" t="n">
        <v>0.8034089288128907</v>
      </c>
      <c r="I83" s="8" t="n">
        <v>0.6783527820144218</v>
      </c>
    </row>
    <row r="84">
      <c r="A84" s="16" t="n">
        <v>45758</v>
      </c>
      <c r="B84" s="8" t="n">
        <v>0.7716043675493257</v>
      </c>
      <c r="C84" s="8" t="n">
        <v>0.1324278391756642</v>
      </c>
      <c r="D84" s="8" t="n">
        <v>0.9408032322086824</v>
      </c>
      <c r="E84" s="8" t="n">
        <v>1.150548396965093</v>
      </c>
      <c r="F84" s="8" t="n">
        <v>1.18080493579342</v>
      </c>
      <c r="G84" s="8" t="n">
        <v>0.1373383698438232</v>
      </c>
      <c r="H84" s="8" t="n">
        <v>0.8562037998790041</v>
      </c>
      <c r="I84" s="8" t="n">
        <v>0.7178951960336567</v>
      </c>
    </row>
    <row r="85">
      <c r="A85" s="16" t="n">
        <v>45765</v>
      </c>
      <c r="B85" s="8" t="n">
        <v>0.7741738710961232</v>
      </c>
      <c r="C85" s="8" t="n">
        <v>0.1515948857721937</v>
      </c>
      <c r="D85" s="8" t="n">
        <v>1.001563135966052</v>
      </c>
      <c r="E85" s="8" t="n">
        <v>1.272369270345364</v>
      </c>
      <c r="F85" s="8" t="n">
        <v>1.477947786437192</v>
      </c>
      <c r="G85" s="8" t="n">
        <v>0.0681146068098147</v>
      </c>
      <c r="H85" s="8" t="n">
        <v>0.8878685035310876</v>
      </c>
      <c r="I85" s="8" t="n">
        <v>0.8167997290830605</v>
      </c>
    </row>
    <row r="86">
      <c r="A86" s="16" t="n">
        <v>45772</v>
      </c>
      <c r="B86" s="8" t="n">
        <v>0.8191297219466298</v>
      </c>
      <c r="C86" s="8" t="n">
        <v>0.2143623046904855</v>
      </c>
      <c r="D86" s="8" t="n">
        <v>1.008892843233104</v>
      </c>
      <c r="E86" s="8" t="n">
        <v>1.333746912090165</v>
      </c>
      <c r="F86" s="8" t="n">
        <v>1.521551161633131</v>
      </c>
      <c r="G86" s="8" t="n">
        <v>0.00695758844582679</v>
      </c>
      <c r="H86" s="8" t="n">
        <v>0.9140112825898667</v>
      </c>
      <c r="I86" s="8" t="n">
        <v>0.8013479323060246</v>
      </c>
    </row>
    <row r="87">
      <c r="A87" s="16" t="n">
        <v>45779</v>
      </c>
      <c r="B87" s="8" t="n">
        <v>0.8198271303343988</v>
      </c>
      <c r="C87" s="8" t="n">
        <v>0.2057874238837907</v>
      </c>
      <c r="D87" s="8" t="n">
        <v>0.9827590673297262</v>
      </c>
      <c r="E87" s="8" t="n">
        <v>1.35466124651396</v>
      </c>
      <c r="F87" s="8" t="n">
        <v>1.504062724406003</v>
      </c>
      <c r="G87" s="8" t="n">
        <v>0.03619150686406503</v>
      </c>
      <c r="H87" s="8" t="n">
        <v>0.9012930988320624</v>
      </c>
      <c r="I87" s="8" t="n">
        <v>0.793518885655502</v>
      </c>
    </row>
    <row r="88">
      <c r="A88" s="16" t="n">
        <v>45786</v>
      </c>
      <c r="B88" s="8" t="n">
        <v>0.7922678205941022</v>
      </c>
      <c r="C88" s="8" t="n">
        <v>0.1529775767032848</v>
      </c>
      <c r="D88" s="8" t="n">
        <v>0.815352296574138</v>
      </c>
      <c r="E88" s="8" t="n">
        <v>1.298938431030777</v>
      </c>
      <c r="F88" s="8" t="n">
        <v>1.505197481962229</v>
      </c>
      <c r="G88" s="8" t="n">
        <v>0.02165948103256328</v>
      </c>
      <c r="H88" s="8" t="n">
        <v>0.8038100585841201</v>
      </c>
      <c r="I88" s="8" t="n">
        <v>0.7149813220499626</v>
      </c>
    </row>
    <row r="89">
      <c r="A89" s="16" t="n">
        <v>45793</v>
      </c>
      <c r="B89" s="8" t="n">
        <v>0.8206873738303172</v>
      </c>
      <c r="C89" s="8" t="n">
        <v>0.143152923344925</v>
      </c>
      <c r="D89" s="8" t="n">
        <v>0.7644800879756152</v>
      </c>
      <c r="E89" s="8" t="n">
        <v>1.369447325433722</v>
      </c>
      <c r="F89" s="8" t="n">
        <v>1.459109478060685</v>
      </c>
      <c r="G89" s="8" t="n">
        <v>-0.02901953219115732</v>
      </c>
      <c r="H89" s="8" t="n">
        <v>0.7925837309029662</v>
      </c>
      <c r="I89" s="8" t="n">
        <v>0.694722070915273</v>
      </c>
    </row>
    <row r="90">
      <c r="A90" s="16" t="n">
        <v>45800</v>
      </c>
      <c r="B90" s="8" t="n">
        <v>0.874237131699794</v>
      </c>
      <c r="C90" s="8" t="n">
        <v>0.1586564830393645</v>
      </c>
      <c r="D90" s="8" t="n">
        <v>0.7782267175708317</v>
      </c>
      <c r="E90" s="8" t="n">
        <v>1.436166167861782</v>
      </c>
      <c r="F90" s="8" t="n">
        <v>1.721346071802093</v>
      </c>
      <c r="G90" s="8" t="n">
        <v>0.1795907250287095</v>
      </c>
      <c r="H90" s="8" t="n">
        <v>0.8262319246353129</v>
      </c>
      <c r="I90" s="8" t="n">
        <v>0.6706131455843363</v>
      </c>
    </row>
    <row r="91">
      <c r="A91" s="16" t="n">
        <v>45807</v>
      </c>
      <c r="B91" s="8" t="n">
        <v>0.8039951825851175</v>
      </c>
      <c r="C91" s="8" t="n">
        <v>0.2039999499915336</v>
      </c>
      <c r="D91" s="8" t="n">
        <v>0.7735168839802528</v>
      </c>
      <c r="E91" s="8" t="n">
        <v>1.087954849436347</v>
      </c>
      <c r="F91" s="8" t="n">
        <v>1.546763260229226</v>
      </c>
      <c r="G91" s="8" t="n">
        <v>0.3602765089508772</v>
      </c>
      <c r="H91" s="8" t="n">
        <v>0.7887560332826851</v>
      </c>
      <c r="I91" s="8" t="n">
        <v>0.68340442739992</v>
      </c>
    </row>
    <row r="92">
      <c r="A92" s="16" t="n">
        <v>45814</v>
      </c>
      <c r="B92" s="8" t="n">
        <v>0.9148278470963928</v>
      </c>
      <c r="C92" s="8" t="n">
        <v>0.2427111527825722</v>
      </c>
      <c r="D92" s="8" t="n">
        <v>0.7905199117885356</v>
      </c>
      <c r="E92" s="8" t="n">
        <v>1.022977482144419</v>
      </c>
      <c r="F92" s="8" t="n">
        <v>1.472016712397892</v>
      </c>
      <c r="G92" s="8" t="n">
        <v>0.4678395419795779</v>
      </c>
      <c r="H92" s="8" t="n">
        <v>0.8526738794424642</v>
      </c>
      <c r="I92" s="8" t="n">
        <v>0.7629244547392716</v>
      </c>
    </row>
    <row r="93">
      <c r="A93" s="16" t="n">
        <v>45821</v>
      </c>
      <c r="B93" s="8" t="n">
        <v>0.9508893516302799</v>
      </c>
      <c r="C93" s="8" t="n">
        <v>0.2768971825292617</v>
      </c>
      <c r="D93" s="8" t="n">
        <v>0.8530824718498152</v>
      </c>
      <c r="E93" s="8" t="n">
        <v>0.8972800884721683</v>
      </c>
      <c r="F93" s="8" t="n">
        <v>1.571591572946422</v>
      </c>
      <c r="G93" s="8" t="n">
        <v>0.4659055442625921</v>
      </c>
      <c r="H93" s="8" t="n">
        <v>0.8751812801609917</v>
      </c>
      <c r="I93" s="8" t="n">
        <v>0.7461225110217327</v>
      </c>
    </row>
    <row r="94">
      <c r="A94" s="16" t="n">
        <v>45828</v>
      </c>
      <c r="B94" s="8" t="n">
        <v>1.146437925385528</v>
      </c>
      <c r="C94" s="8" t="n">
        <v>0.2866191965334648</v>
      </c>
      <c r="D94" s="8" t="n">
        <v>0.997064580337632</v>
      </c>
      <c r="E94" s="8" t="n">
        <v>0.9199813361467301</v>
      </c>
      <c r="F94" s="8" t="n">
        <v>1.513436117479263</v>
      </c>
      <c r="G94" s="8" t="n">
        <v>0.6648363093762334</v>
      </c>
      <c r="H94" s="8" t="n">
        <v>0.958522958242181</v>
      </c>
      <c r="I94" s="8" t="n">
        <v>0.8386397474572234</v>
      </c>
    </row>
    <row r="95">
      <c r="A95" s="16" t="n">
        <v>45835</v>
      </c>
      <c r="B95" s="8" t="n">
        <v>1.157338556404539</v>
      </c>
      <c r="C95" s="8" t="n">
        <v>0.2922724280198675</v>
      </c>
      <c r="D95" s="8" t="n">
        <v>1.025682409900563</v>
      </c>
      <c r="E95" s="8" t="n">
        <v>0.9485836367351419</v>
      </c>
      <c r="F95" s="8" t="n">
        <v>1.522236216283535</v>
      </c>
      <c r="G95" s="8" t="n">
        <v>0.686449125767843</v>
      </c>
      <c r="H95" s="8" t="n">
        <v>0.9871330233178522</v>
      </c>
      <c r="I95" s="8" t="n">
        <v>0.8096836565383477</v>
      </c>
    </row>
    <row r="96">
      <c r="A96" s="16" t="n">
        <v>45842</v>
      </c>
      <c r="B96" s="8" t="n">
        <v>1.208067437515478</v>
      </c>
      <c r="C96" s="8" t="n">
        <v>0.3156977838721732</v>
      </c>
      <c r="D96" s="8" t="n">
        <v>1.049824615392132</v>
      </c>
      <c r="E96" s="8" t="n">
        <v>0.9301189355609641</v>
      </c>
      <c r="F96" s="8" t="n">
        <v>1.527362030070488</v>
      </c>
      <c r="G96" s="8" t="n">
        <v>0.7197413642421684</v>
      </c>
      <c r="H96" s="8" t="n">
        <v>0.9899717754765482</v>
      </c>
      <c r="I96" s="8" t="n">
        <v>0.862195262465401</v>
      </c>
    </row>
    <row r="97">
      <c r="A97" s="16" t="n">
        <v>45849</v>
      </c>
      <c r="B97" s="8" t="n">
        <v>1.113093868790654</v>
      </c>
      <c r="C97" s="8" t="n">
        <v>0.4516400262132848</v>
      </c>
      <c r="D97" s="8" t="n">
        <v>1.293824727331758</v>
      </c>
      <c r="E97" s="8" t="n">
        <v>1.240331210949193</v>
      </c>
      <c r="F97" s="8" t="n">
        <v>1.691091023501283</v>
      </c>
      <c r="G97" s="8" t="n">
        <v>0.9717363180236461</v>
      </c>
      <c r="H97" s="8" t="n">
        <v>1.176712539869924</v>
      </c>
      <c r="I97" s="8" t="n">
        <v>1.001312639664361</v>
      </c>
    </row>
    <row r="98">
      <c r="A98" s="16" t="n">
        <v>45856</v>
      </c>
      <c r="B98" s="8" t="n">
        <v>0.9656233109752657</v>
      </c>
      <c r="C98" s="8" t="n">
        <v>0.4239034568158606</v>
      </c>
      <c r="D98" s="8" t="n">
        <v>1.320023260271401</v>
      </c>
      <c r="E98" s="8" t="n">
        <v>1.240095090141154</v>
      </c>
      <c r="F98" s="8" t="n">
        <v>1.79834139801503</v>
      </c>
      <c r="G98" s="8" t="n">
        <v>0.9281133044967939</v>
      </c>
      <c r="H98" s="8" t="n">
        <v>1.10285920055821</v>
      </c>
      <c r="I98" s="8" t="n">
        <v>0.981185375129102</v>
      </c>
    </row>
    <row r="99">
      <c r="A99" s="16" t="n">
        <v>45863</v>
      </c>
      <c r="B99" s="8" t="n">
        <v>0.9659023741028641</v>
      </c>
      <c r="C99" s="8" t="n">
        <v>0.4478843140599862</v>
      </c>
      <c r="D99" s="8" t="n">
        <v>1.305065977786598</v>
      </c>
      <c r="E99" s="8" t="n">
        <v>1.217474193274383</v>
      </c>
      <c r="F99" s="8" t="n">
        <v>1.784936261198601</v>
      </c>
      <c r="G99" s="8" t="n">
        <v>0.9638028850514033</v>
      </c>
      <c r="H99" s="8" t="n">
        <v>1.091688283688623</v>
      </c>
      <c r="I99" s="8" t="n">
        <v>1.001779275215617</v>
      </c>
    </row>
    <row r="100">
      <c r="A100" s="16" t="n">
        <v>45870</v>
      </c>
      <c r="B100" s="8" t="n">
        <v>0.9018164070776687</v>
      </c>
      <c r="C100" s="8" t="n">
        <v>0.475715905990329</v>
      </c>
      <c r="D100" s="8" t="n">
        <v>1.241249421607186</v>
      </c>
      <c r="E100" s="8" t="n">
        <v>1.119094591001358</v>
      </c>
      <c r="F100" s="8" t="n">
        <v>1.585798958876793</v>
      </c>
      <c r="G100" s="8" t="n">
        <v>0.8999519704150364</v>
      </c>
      <c r="H100" s="8" t="n">
        <v>1.010455499039513</v>
      </c>
      <c r="I100" s="8" t="n">
        <v>0.9812502604737627</v>
      </c>
    </row>
    <row r="101">
      <c r="A101" s="16" t="n">
        <v>45877</v>
      </c>
      <c r="B101" s="8" t="n">
        <v>0.8627771249601824</v>
      </c>
      <c r="C101" s="8" t="n">
        <v>0.4672491769625122</v>
      </c>
      <c r="D101" s="8" t="n">
        <v>1.298882246042111</v>
      </c>
      <c r="E101" s="8" t="n">
        <v>1.198056528701104</v>
      </c>
      <c r="F101" s="8" t="n">
        <v>1.674694611425357</v>
      </c>
      <c r="G101" s="8" t="n">
        <v>0.9707299592187373</v>
      </c>
      <c r="H101" s="8" t="n">
        <v>1.084393243959921</v>
      </c>
      <c r="I101" s="8" t="n">
        <v>1.050566446538164</v>
      </c>
    </row>
    <row r="102">
      <c r="A102" s="16" t="n">
        <v>45884</v>
      </c>
      <c r="B102" s="8" t="n">
        <v>0.9604388539234204</v>
      </c>
      <c r="C102" s="8" t="n">
        <v>0.4985988928599194</v>
      </c>
      <c r="D102" s="8" t="n">
        <v>1.285268506027183</v>
      </c>
      <c r="E102" s="8" t="n">
        <v>1.254715508709927</v>
      </c>
      <c r="F102" s="8" t="n">
        <v>1.833675367405765</v>
      </c>
      <c r="G102" s="8" t="n">
        <v>0.9070586629180269</v>
      </c>
      <c r="H102" s="8" t="n">
        <v>1.107577181316674</v>
      </c>
      <c r="I102" s="8" t="n">
        <v>0.9692947379922215</v>
      </c>
    </row>
    <row r="103">
      <c r="A103" s="16" t="n">
        <v>45891</v>
      </c>
      <c r="B103" s="8" t="n">
        <v>0.9095270319179217</v>
      </c>
      <c r="C103" s="8" t="n">
        <v>0.4723815393951062</v>
      </c>
      <c r="D103" s="8" t="n">
        <v>1.248628100816585</v>
      </c>
      <c r="E103" s="8" t="n">
        <v>1.219528234263205</v>
      </c>
      <c r="F103" s="8" t="n">
        <v>1.864476514967691</v>
      </c>
      <c r="G103" s="8" t="n">
        <v>0.9376102519309656</v>
      </c>
      <c r="H103" s="8" t="n">
        <v>1.078569243097085</v>
      </c>
      <c r="I103" s="8" t="n">
        <v>0.9795605912676717</v>
      </c>
    </row>
    <row r="104">
      <c r="A104" s="16" t="n">
        <v>45898</v>
      </c>
      <c r="B104" s="8" t="n">
        <v>0.9101724322819251</v>
      </c>
      <c r="C104" s="8" t="n">
        <v>0.4736890722675149</v>
      </c>
      <c r="D104" s="8" t="n">
        <v>1.250016962382648</v>
      </c>
      <c r="E104" s="8" t="n">
        <v>1.220513388351968</v>
      </c>
      <c r="F104" s="8" t="n">
        <v>1.870376967766761</v>
      </c>
      <c r="G104" s="8" t="n">
        <v>0.9385217158192558</v>
      </c>
      <c r="H104" s="8" t="n">
        <v>1.079517552085612</v>
      </c>
      <c r="I104" s="8" t="n">
        <v>0.9596758637401144</v>
      </c>
    </row>
    <row r="105">
      <c r="A105" s="16" t="n">
        <v>45905</v>
      </c>
      <c r="B105" s="8" t="n">
        <v>0.9154223275238784</v>
      </c>
      <c r="C105" s="8" t="n">
        <v>0.6309327491674288</v>
      </c>
      <c r="D105" s="8" t="n">
        <v>1.407339256169238</v>
      </c>
      <c r="E105" s="8" t="n">
        <v>1.155743182551882</v>
      </c>
      <c r="F105" s="8" t="n">
        <v>1.879470628190177</v>
      </c>
      <c r="G105" s="8" t="n">
        <v>1.233260941756618</v>
      </c>
      <c r="H105" s="8" t="n">
        <v>1.194502062154251</v>
      </c>
      <c r="I105" s="8" t="n">
        <v>1.234610762708498</v>
      </c>
    </row>
    <row r="106">
      <c r="A106" s="16" t="n">
        <v>45912</v>
      </c>
      <c r="B106" s="8" t="n">
        <v>0.8273503475645815</v>
      </c>
      <c r="C106" s="8" t="n">
        <v>0.6414473038297003</v>
      </c>
      <c r="D106" s="8" t="n">
        <v>1.487456379598569</v>
      </c>
      <c r="E106" s="8" t="n">
        <v>1.197135534739291</v>
      </c>
      <c r="F106" s="8" t="n">
        <v>1.753467223458768</v>
      </c>
      <c r="G106" s="8" t="n">
        <v>1.272846103747512</v>
      </c>
      <c r="H106" s="8" t="n">
        <v>1.234990819243402</v>
      </c>
      <c r="I106" s="8" t="n">
        <v>1.226071187611419</v>
      </c>
    </row>
    <row r="107">
      <c r="A107" s="16" t="n">
        <v>45919</v>
      </c>
      <c r="B107" s="8" t="n">
        <v>0.8380191005797496</v>
      </c>
      <c r="C107" s="8" t="n">
        <v>0.6499000615545271</v>
      </c>
      <c r="D107" s="8" t="n">
        <v>1.472766300951286</v>
      </c>
      <c r="E107" s="8" t="n">
        <v>1.184709020047236</v>
      </c>
      <c r="F107" s="8" t="n">
        <v>1.721776379508386</v>
      </c>
      <c r="G107" s="8" t="n">
        <v>1.275931490467441</v>
      </c>
      <c r="H107" s="8" t="n">
        <v>1.230320255257339</v>
      </c>
      <c r="I107" s="8" t="n">
        <v>1.229223219805392</v>
      </c>
    </row>
    <row r="108">
      <c r="A108" s="16" t="n">
        <v>45926</v>
      </c>
      <c r="B108" s="8" t="n">
        <v>0.82611315440674</v>
      </c>
      <c r="C108" s="8" t="n">
        <v>0.6413002869460386</v>
      </c>
      <c r="D108" s="8" t="n">
        <v>1.361447990179836</v>
      </c>
      <c r="E108" s="8" t="n">
        <v>1.188205344421504</v>
      </c>
      <c r="F108" s="8" t="n">
        <v>1.685766904566671</v>
      </c>
      <c r="G108" s="8" t="n">
        <v>1.244407801651037</v>
      </c>
      <c r="H108" s="8" t="n">
        <v>1.216306573036271</v>
      </c>
      <c r="I108" s="8" t="n">
        <v>1.214922788582851</v>
      </c>
    </row>
    <row r="109">
      <c r="A109" s="16" t="n">
        <v>45933</v>
      </c>
      <c r="B109" s="8" t="n">
        <v>0.717235826686478</v>
      </c>
      <c r="C109" s="8" t="n">
        <v>0.565647989438383</v>
      </c>
      <c r="D109" s="8" t="n">
        <v>1.314124620902695</v>
      </c>
      <c r="E109" s="8" t="n">
        <v>1.138608756901983</v>
      </c>
      <c r="F109" s="8" t="n">
        <v>1.614422494134202</v>
      </c>
      <c r="G109" s="8" t="n">
        <v>1.216834682703962</v>
      </c>
      <c r="H109" s="8" t="n">
        <v>1.177721719802973</v>
      </c>
      <c r="I109" s="8" t="n">
        <v>1.138704289591989</v>
      </c>
    </row>
    <row r="110">
      <c r="A110" s="16" t="n">
        <v>45940</v>
      </c>
      <c r="B110" s="8" t="n">
        <v>0.7432748337982595</v>
      </c>
      <c r="C110" s="8" t="n">
        <v>0.5827320292944173</v>
      </c>
      <c r="D110" s="8" t="n">
        <v>1.356615416309503</v>
      </c>
      <c r="E110" s="8" t="n">
        <v>1.166971762020951</v>
      </c>
      <c r="F110" s="8" t="n">
        <v>1.654156218472753</v>
      </c>
      <c r="G110" s="8" t="n">
        <v>1.218802482418194</v>
      </c>
      <c r="H110" s="8" t="n">
        <v>1.192887122219573</v>
      </c>
      <c r="I110" s="8" t="n">
        <v>1.123314980926749</v>
      </c>
    </row>
    <row r="111">
      <c r="A111" s="16" t="n">
        <v>45947</v>
      </c>
      <c r="B111" s="8" t="n">
        <v>0.6973966240634192</v>
      </c>
      <c r="C111" s="8" t="n">
        <v>0.5624605355451919</v>
      </c>
      <c r="D111" s="8" t="n">
        <v>1.254165364770947</v>
      </c>
      <c r="E111" s="8" t="n">
        <v>1.077207833954222</v>
      </c>
      <c r="F111" s="8" t="n">
        <v>1.528542527111157</v>
      </c>
      <c r="G111" s="8" t="n">
        <v>1.189572474020974</v>
      </c>
      <c r="H111" s="8" t="n">
        <v>1.133390153987598</v>
      </c>
      <c r="I111" s="8" t="n">
        <v>1.055823647923464</v>
      </c>
    </row>
    <row r="112">
      <c r="A112" s="16" t="n">
        <v>45954</v>
      </c>
      <c r="B112" s="8" t="n">
        <v>0.6528851837864971</v>
      </c>
      <c r="C112" s="8" t="n">
        <v>0.5206175584655438</v>
      </c>
      <c r="D112" s="8" t="n">
        <v>1.255081346662031</v>
      </c>
      <c r="E112" s="8" t="n">
        <v>0.9936382539544977</v>
      </c>
      <c r="F112" s="8" t="n">
        <v>1.525695729838438</v>
      </c>
      <c r="G112" s="8" t="n">
        <v>1.127007026108007</v>
      </c>
      <c r="H112" s="8" t="n">
        <v>1.060322640031252</v>
      </c>
      <c r="I112" s="8" t="n">
        <v>1.011501822132604</v>
      </c>
    </row>
    <row r="113">
      <c r="A113" s="16" t="n">
        <v>45961</v>
      </c>
      <c r="B113" s="8" t="n">
        <v>0.8023175096559916</v>
      </c>
      <c r="C113" s="8" t="n">
        <v>0.5581679863722603</v>
      </c>
      <c r="D113" s="8" t="n">
        <v>1.338658050919954</v>
      </c>
      <c r="E113" s="8" t="n">
        <v>0.9325882379617514</v>
      </c>
      <c r="F113" s="8" t="n">
        <v>1.507116401475836</v>
      </c>
      <c r="G113" s="8" t="n">
        <v>1.191277061420766</v>
      </c>
      <c r="H113" s="8" t="n">
        <v>1.061932649691259</v>
      </c>
      <c r="I113" s="8" t="n">
        <v>0.9758659861653477</v>
      </c>
    </row>
    <row r="114">
      <c r="A114" s="16" t="n">
        <v>45968</v>
      </c>
      <c r="B114" s="8" t="n">
        <v>0.8389424466417217</v>
      </c>
      <c r="C114" s="8" t="n">
        <v>0.6162255477584397</v>
      </c>
      <c r="D114" s="8" t="n">
        <v>1.05249615675611</v>
      </c>
      <c r="E114" s="8" t="n">
        <v>1.000892670480856</v>
      </c>
      <c r="F114" s="8" t="n">
        <v>1.051368122808452</v>
      </c>
      <c r="G114" s="8" t="n">
        <v>1.179535884078958</v>
      </c>
      <c r="H114" s="8" t="n">
        <v>1.026130396644654</v>
      </c>
      <c r="I114" s="8" t="n">
        <v>0.7509806930382148</v>
      </c>
    </row>
    <row r="115">
      <c r="A115" s="16" t="n">
        <v>45975</v>
      </c>
      <c r="B115" s="8" t="n">
        <v>0.4977397668898282</v>
      </c>
      <c r="C115" s="8" t="n">
        <v>0.3446577843172395</v>
      </c>
      <c r="D115" s="8" t="n">
        <v>0.5599330039773448</v>
      </c>
      <c r="E115" s="8" t="n">
        <v>0.3451713963674428</v>
      </c>
      <c r="F115" s="8" t="n">
        <v>0.2697950614080728</v>
      </c>
      <c r="G115" s="8" t="n">
        <v>0.777850532396574</v>
      </c>
      <c r="H115" s="8" t="n">
        <v>0.4214555816286355</v>
      </c>
      <c r="I115" s="8" t="n">
        <v>0.3858799299697069</v>
      </c>
    </row>
    <row r="116">
      <c r="A116" s="16" t="n">
        <v>45982</v>
      </c>
      <c r="B116" s="8" t="n">
        <v>0.3381555429083737</v>
      </c>
      <c r="C116" s="8" t="n">
        <v>0.2734594105407479</v>
      </c>
      <c r="D116" s="8" t="n">
        <v>0.6375807731858686</v>
      </c>
      <c r="E116" s="8" t="n">
        <v>0.3915454626397789</v>
      </c>
      <c r="F116" s="8" t="n">
        <v>0.3816826273044663</v>
      </c>
      <c r="G116" s="8" t="n">
        <v>0.866947317783077</v>
      </c>
      <c r="H116" s="8" t="n">
        <v>0.3866140449721226</v>
      </c>
      <c r="I116" s="8" t="n">
        <v>0.3278809253313585</v>
      </c>
    </row>
    <row r="117">
      <c r="A117" s="16" t="n">
        <v>45989</v>
      </c>
      <c r="B117" s="8" t="n">
        <v>0.3362014011875339</v>
      </c>
      <c r="C117" s="8" t="n">
        <v>0.2599427765974444</v>
      </c>
      <c r="D117" s="8" t="n">
        <v>0.6147976237229573</v>
      </c>
      <c r="E117" s="8" t="n">
        <v>0.4020413213052771</v>
      </c>
      <c r="F117" s="8" t="n">
        <v>0.3609228422223821</v>
      </c>
      <c r="G117" s="8" t="n">
        <v>0.8127568716004968</v>
      </c>
      <c r="H117" s="8" t="n">
        <v>0.3814820817638296</v>
      </c>
      <c r="I117" s="8" t="n">
        <v>0.3175015478949851</v>
      </c>
    </row>
    <row r="118">
      <c r="A118" s="16" t="n">
        <v>45996</v>
      </c>
      <c r="B118" s="8" t="n">
        <v>0.3373556987681628</v>
      </c>
      <c r="C118" s="8" t="n">
        <v>0.2100975274889766</v>
      </c>
      <c r="D118" s="8" t="n">
        <v>0.4657399486026698</v>
      </c>
      <c r="E118" s="8" t="n">
        <v>0.3655535161588485</v>
      </c>
      <c r="F118" s="8" t="n">
        <v>0.2552976490565782</v>
      </c>
      <c r="G118" s="8" t="n">
        <v>0.7706916206679365</v>
      </c>
      <c r="H118" s="8" t="n">
        <v>0.3514546074635057</v>
      </c>
      <c r="I118" s="8" t="n">
        <v>0.243504241321586</v>
      </c>
    </row>
    <row r="119">
      <c r="A119" s="16" t="n">
        <v>46003</v>
      </c>
      <c r="B119" s="8" t="n">
        <v>0.2918318826394677</v>
      </c>
      <c r="C119" s="8" t="n">
        <v>0.1664527495261214</v>
      </c>
      <c r="D119" s="8" t="n">
        <v>0.408104774134956</v>
      </c>
      <c r="E119" s="8" t="n">
        <v>0.3160214918767382</v>
      </c>
      <c r="F119" s="8" t="n">
        <v>0.2486423983053261</v>
      </c>
      <c r="G119" s="8" t="n">
        <v>0.6921818340003708</v>
      </c>
      <c r="H119" s="8" t="n">
        <v>0.3039266872581029</v>
      </c>
      <c r="I119" s="8" t="n">
        <v>0.1937747457560899</v>
      </c>
    </row>
    <row r="120">
      <c r="A120" s="16" t="n">
        <v>46010</v>
      </c>
      <c r="B120" s="8" t="n">
        <v>0.2561266965632247</v>
      </c>
      <c r="C120" s="8" t="n">
        <v>0.1467154358742402</v>
      </c>
      <c r="D120" s="8" t="n">
        <v>0.2675344491279965</v>
      </c>
      <c r="E120" s="8" t="n">
        <v>0.3507303325966424</v>
      </c>
      <c r="F120" s="8" t="n">
        <v>0.1923793271531848</v>
      </c>
      <c r="G120" s="8" t="n">
        <v>0.6259307533082054</v>
      </c>
      <c r="H120" s="8" t="n">
        <v>0.2618305728456106</v>
      </c>
      <c r="I120" s="8" t="n">
        <v>0.1184672914658733</v>
      </c>
    </row>
    <row r="121">
      <c r="A121" s="16" t="n">
        <v>46017</v>
      </c>
      <c r="B121" s="8" t="n">
        <v>0.2680254844071853</v>
      </c>
      <c r="C121" s="8" t="n">
        <v>0.1625022245054521</v>
      </c>
      <c r="D121" s="8" t="n">
        <v>0.3143122172345162</v>
      </c>
      <c r="E121" s="8" t="n">
        <v>0.337454150912618</v>
      </c>
      <c r="F121" s="8" t="n">
        <v>0.1982935554523741</v>
      </c>
      <c r="G121" s="8" t="n">
        <v>0.6393271512379689</v>
      </c>
      <c r="H121" s="8" t="n">
        <v>0.2911688508208508</v>
      </c>
      <c r="I121" s="8" t="n">
        <v>0.09274385791086326</v>
      </c>
    </row>
    <row r="122">
      <c r="A122" s="16" t="n">
        <v>46024</v>
      </c>
      <c r="B122" s="8" t="n">
        <v>0.2775765700495781</v>
      </c>
      <c r="C122" s="8" t="n">
        <v>0.1561783711188154</v>
      </c>
      <c r="D122" s="8" t="n">
        <v>0.3128329265511733</v>
      </c>
      <c r="E122" s="8" t="n">
        <v>0.3367457067816759</v>
      </c>
      <c r="F122" s="8" t="n">
        <v>0.1879153216216529</v>
      </c>
      <c r="G122" s="8" t="n">
        <v>0.6361625537794759</v>
      </c>
      <c r="H122" s="8" t="n">
        <v>0.2952047483003757</v>
      </c>
      <c r="I122" s="8" t="n">
        <v>0.1626691954084596</v>
      </c>
    </row>
    <row r="123">
      <c r="A123" s="16" t="n">
        <v>46031</v>
      </c>
      <c r="B123" s="8" t="n">
        <v>0.2247901526301823</v>
      </c>
      <c r="C123" s="8" t="n">
        <v>0.1006840339681705</v>
      </c>
      <c r="D123" s="8" t="n">
        <v>0.3318348147356582</v>
      </c>
      <c r="E123" s="8" t="n">
        <v>0.3333185865424457</v>
      </c>
      <c r="F123" s="8" t="n">
        <v>0.1643293800144555</v>
      </c>
      <c r="G123" s="8" t="n">
        <v>0.5546836758321912</v>
      </c>
      <c r="H123" s="8" t="n">
        <v>0.2783124836829202</v>
      </c>
      <c r="I123" s="8" t="n">
        <v>0.1388169943625238</v>
      </c>
    </row>
    <row r="124">
      <c r="A124" s="16" t="n">
        <v>46038</v>
      </c>
      <c r="B124" s="8" t="n">
        <v>0.3159553360519478</v>
      </c>
      <c r="C124" s="8" t="n">
        <v>0.1079681525412562</v>
      </c>
      <c r="D124" s="8" t="n">
        <v>0.229427589924825</v>
      </c>
      <c r="E124" s="8" t="n">
        <v>0.2365612215964075</v>
      </c>
      <c r="F124" s="8" t="n">
        <v>0.02765767928046051</v>
      </c>
      <c r="G124" s="8" t="n">
        <v>0.4598983406763131</v>
      </c>
      <c r="H124" s="8" t="n">
        <v>0.2329944057606162</v>
      </c>
      <c r="I124" s="8" t="n">
        <v>0.1654342732500841</v>
      </c>
    </row>
    <row r="125">
      <c r="A125" s="16" t="n">
        <v>46045</v>
      </c>
      <c r="B125" s="8" t="n">
        <v>0.3288293830471554</v>
      </c>
      <c r="C125" s="8" t="n">
        <v>0.1390661086553065</v>
      </c>
      <c r="D125" s="8" t="n">
        <v>0.3940785849600827</v>
      </c>
      <c r="E125" s="8" t="n">
        <v>0.2659116030198933</v>
      </c>
      <c r="F125" s="8" t="n">
        <v>0.1041238396296658</v>
      </c>
      <c r="G125" s="8" t="n">
        <v>0.4661592536592036</v>
      </c>
      <c r="H125" s="8" t="n">
        <v>0.2973704930335244</v>
      </c>
      <c r="I125" s="8" t="n">
        <v>0.2054103576100736</v>
      </c>
    </row>
    <row r="126">
      <c r="A126" s="16" t="n">
        <v>46052</v>
      </c>
      <c r="B126" s="8" t="n">
        <v>0.3329788955267958</v>
      </c>
      <c r="C126" s="8" t="n">
        <v>0.1450928288694036</v>
      </c>
      <c r="D126" s="8" t="n">
        <v>0.4119337735490523</v>
      </c>
      <c r="E126" s="8" t="n">
        <v>0.2860180281722523</v>
      </c>
      <c r="F126" s="8" t="n">
        <v>0.1075656413330151</v>
      </c>
      <c r="G126" s="8" t="n">
        <v>0.4663441564092736</v>
      </c>
      <c r="H126" s="8" t="n">
        <v>0.309498461849524</v>
      </c>
      <c r="I126" s="8" t="n">
        <v>0.2788904685388356</v>
      </c>
    </row>
    <row r="127">
      <c r="A127" s="16" t="n">
        <v>46059</v>
      </c>
      <c r="B127" s="8" t="n">
        <v>0.3249780197875836</v>
      </c>
      <c r="C127" s="8" t="n">
        <v>0.1489192221171008</v>
      </c>
      <c r="D127" s="8" t="n">
        <v>0.4033129526076454</v>
      </c>
      <c r="E127" s="8" t="n">
        <v>0.3634338701770961</v>
      </c>
      <c r="F127" s="8" t="n">
        <v>0.2234382370638469</v>
      </c>
      <c r="G127" s="8" t="n">
        <v>0.437775813231415</v>
      </c>
      <c r="H127" s="8" t="n">
        <v>0.3442059449823398</v>
      </c>
      <c r="I127" s="8" t="n">
        <v>0.2632632741008258</v>
      </c>
    </row>
    <row r="128">
      <c r="A128" s="16" t="n">
        <v>46066</v>
      </c>
      <c r="B128" s="8" t="n">
        <v>0.334183895468106</v>
      </c>
      <c r="C128" s="8" t="n">
        <v>0.2123694160423785</v>
      </c>
      <c r="D128" s="8" t="n">
        <v>0.4067809489227531</v>
      </c>
      <c r="E128" s="8" t="n">
        <v>0.3082740219897832</v>
      </c>
      <c r="F128" s="8" t="n">
        <v>0.2844647684298236</v>
      </c>
      <c r="G128" s="8" t="n">
        <v>0.4580628176245389</v>
      </c>
      <c r="H128" s="8" t="n">
        <v>0.3212289587289445</v>
      </c>
      <c r="I128" s="8" t="n">
        <v>0.2809588338908983</v>
      </c>
    </row>
    <row r="129">
      <c r="A129" s="16" t="n">
        <v>46073</v>
      </c>
      <c r="B129" s="8" t="n">
        <v>0.2572481862283619</v>
      </c>
      <c r="C129" s="8" t="n">
        <v>0.1981405138428377</v>
      </c>
      <c r="D129" s="8" t="n">
        <v>0.4144876389457374</v>
      </c>
      <c r="E129" s="8" t="n">
        <v>0.2125796498867653</v>
      </c>
      <c r="F129" s="8" t="n">
        <v>0.2903220787298554</v>
      </c>
      <c r="G129" s="8" t="n">
        <v>0.4082810917429121</v>
      </c>
      <c r="H129" s="8" t="n">
        <v>0.2737851324791086</v>
      </c>
      <c r="I129" s="8" t="n">
        <v>0.2368117927742747</v>
      </c>
    </row>
    <row r="130">
      <c r="A130" s="16" t="n">
        <v>46080</v>
      </c>
      <c r="B130" s="8" t="n">
        <v>0.317719187686668</v>
      </c>
      <c r="C130" s="8" t="n">
        <v>0.2926134573346685</v>
      </c>
      <c r="D130" s="8" t="n">
        <v>0.07569461432102979</v>
      </c>
      <c r="E130" s="8" t="n">
        <v>0.09624300403857747</v>
      </c>
      <c r="F130" s="8" t="n">
        <v>-0.01143954677981365</v>
      </c>
      <c r="G130" s="8" t="n">
        <v>0.4463879438497815</v>
      </c>
      <c r="H130" s="8" t="n">
        <v>0.194428230686623</v>
      </c>
      <c r="I130" s="8" t="n">
        <v>0.2659788755845371</v>
      </c>
    </row>
    <row r="131">
      <c r="A131" s="16" t="n">
        <v>46087</v>
      </c>
      <c r="B131" s="8" t="n">
        <v>0.4797010900685937</v>
      </c>
      <c r="C131" s="8" t="n">
        <v>0.4084807665066532</v>
      </c>
      <c r="D131" s="8" t="n">
        <v>0.2797724917163238</v>
      </c>
      <c r="E131" s="8" t="n">
        <v>0.2860175659804138</v>
      </c>
      <c r="F131" s="8" t="n">
        <v>-0.05108603791687547</v>
      </c>
      <c r="G131" s="8" t="n">
        <v>0.3998962383494168</v>
      </c>
      <c r="H131" s="8" t="n">
        <v>0.3429569021649153</v>
      </c>
      <c r="I131" s="8" t="n">
        <v>0.32205639596339</v>
      </c>
    </row>
    <row r="132">
      <c r="A132" s="16" t="n">
        <v>46094</v>
      </c>
      <c r="B132" s="8" t="n">
        <v>0.4416653608529342</v>
      </c>
      <c r="C132" s="8" t="n">
        <v>0.4072434964508057</v>
      </c>
      <c r="D132" s="8" t="n">
        <v>0.3160747013411038</v>
      </c>
      <c r="E132" s="8" t="n">
        <v>0.4183576372403445</v>
      </c>
      <c r="F132" s="8" t="n">
        <v>-0.04989900232493978</v>
      </c>
      <c r="G132" s="8" t="n">
        <v>0.4532394752367421</v>
      </c>
      <c r="H132" s="8" t="n">
        <v>0.4128005668455751</v>
      </c>
      <c r="I132" s="8" t="n">
        <v>0.345283699427732</v>
      </c>
    </row>
    <row r="133">
      <c r="A133" s="16" t="n">
        <v>46101</v>
      </c>
      <c r="B133" s="8" t="n">
        <v>0.4752554962165668</v>
      </c>
      <c r="C133" s="8" t="n">
        <v>0.428375213633157</v>
      </c>
      <c r="D133" s="8" t="n">
        <v>0.3313914561346867</v>
      </c>
      <c r="E133" s="8" t="n">
        <v>0.4349096355007413</v>
      </c>
      <c r="F133" s="8" t="n">
        <v>-0.05878376234990069</v>
      </c>
      <c r="G133" s="8" t="n">
        <v>0.4362375968570077</v>
      </c>
      <c r="H133" s="8" t="n">
        <v>0.4316424245669491</v>
      </c>
      <c r="I133" s="8" t="n">
        <v>0.3456155297574673</v>
      </c>
    </row>
    <row r="134">
      <c r="A134" s="16" t="n">
        <v>46108</v>
      </c>
      <c r="B134" s="8" t="n">
        <v>0.3922822269575237</v>
      </c>
      <c r="C134" s="8" t="n">
        <v>0.3614334044234679</v>
      </c>
      <c r="D134" s="8" t="n">
        <v>0.2446568950085269</v>
      </c>
      <c r="E134" s="8" t="n">
        <v>0.4235601691815882</v>
      </c>
      <c r="F134" s="8" t="n">
        <v>-0.06203478518512648</v>
      </c>
      <c r="G134" s="8" t="n">
        <v>0.4713606449960603</v>
      </c>
      <c r="H134" s="8" t="n">
        <v>0.3768578156904958</v>
      </c>
      <c r="I134" s="8" t="n">
        <v>0.3115273688433546</v>
      </c>
    </row>
    <row r="135">
      <c r="A135" s="16" t="n">
        <v>46115</v>
      </c>
      <c r="B135" s="8" t="n">
        <v>0.4355445955996484</v>
      </c>
      <c r="C135" s="8" t="n">
        <v>0.4375485098941113</v>
      </c>
      <c r="D135" s="8" t="n">
        <v>0.3390010858812632</v>
      </c>
      <c r="E135" s="8" t="n">
        <v>0.3723949952467728</v>
      </c>
      <c r="F135" s="8" t="n">
        <v>0.1050154182448154</v>
      </c>
      <c r="G135" s="8" t="n">
        <v>0.5266597187958865</v>
      </c>
      <c r="H135" s="8" t="n">
        <v>0.4039697954232106</v>
      </c>
      <c r="I135" s="8" t="n">
        <v>0.3554058965091237</v>
      </c>
    </row>
    <row r="136">
      <c r="A136" s="16" t="n">
        <v>46122</v>
      </c>
      <c r="B136" s="8" t="n">
        <v>0.3833984618122807</v>
      </c>
      <c r="C136" s="8" t="n">
        <v>0.4718955277834336</v>
      </c>
      <c r="D136" s="8" t="n">
        <v>0.3042291363920649</v>
      </c>
      <c r="E136" s="8" t="n">
        <v>0.3474039890758359</v>
      </c>
      <c r="F136" s="8" t="n">
        <v>-0.01274520003658933</v>
      </c>
      <c r="G136" s="8" t="n">
        <v>0.6197192665626952</v>
      </c>
      <c r="H136" s="8" t="n">
        <v>0.3654012254440583</v>
      </c>
      <c r="I136" s="8" t="n">
        <v>0.3638943920916249</v>
      </c>
    </row>
    <row r="137">
      <c r="A137" s="16" t="n">
        <v>46129</v>
      </c>
      <c r="B137" s="8" t="n">
        <v>0.4730835151398755</v>
      </c>
      <c r="C137" s="8" t="n">
        <v>0.5205435277147502</v>
      </c>
      <c r="D137" s="8" t="n">
        <v>0.3167410987449722</v>
      </c>
      <c r="E137" s="8" t="n">
        <v>0.3345033409256055</v>
      </c>
      <c r="F137" s="8" t="n">
        <v>-0.04530383876153447</v>
      </c>
      <c r="G137" s="8" t="n">
        <v>0.6156891868894935</v>
      </c>
      <c r="H137" s="8" t="n">
        <v>0.4037934280327404</v>
      </c>
      <c r="I137" s="8" t="n">
        <v>0.3993460213016768</v>
      </c>
    </row>
    <row r="138">
      <c r="A138" s="16" t="n">
        <v>46136</v>
      </c>
      <c r="B138" s="8" t="n">
        <v>0.4976856486440661</v>
      </c>
      <c r="C138" s="8" t="n">
        <v>0.5412952483095278</v>
      </c>
      <c r="D138" s="8" t="n">
        <v>0.3406090728283728</v>
      </c>
      <c r="E138" s="8" t="n">
        <v>0.3893831995718262</v>
      </c>
      <c r="F138" s="8" t="n">
        <v>-0.02208552448257938</v>
      </c>
      <c r="G138" s="8" t="n">
        <v>0.6559452657375239</v>
      </c>
      <c r="H138" s="8" t="n">
        <v>0.4435344241079461</v>
      </c>
      <c r="I138" s="8" t="n">
        <v>0.4220575568572078</v>
      </c>
    </row>
    <row r="139">
      <c r="A139" s="16" t="n">
        <v>46143</v>
      </c>
      <c r="B139" s="8" t="n">
        <v>0.4946140071754091</v>
      </c>
      <c r="C139" s="8" t="n">
        <v>0.5398894501551192</v>
      </c>
      <c r="D139" s="8" t="n">
        <v>0.3372266573256363</v>
      </c>
      <c r="E139" s="8" t="n">
        <v>0.3898967568030024</v>
      </c>
      <c r="F139" s="8" t="n">
        <v>-0.02325468731419856</v>
      </c>
      <c r="G139" s="8" t="n">
        <v>0.6565845184332381</v>
      </c>
      <c r="H139" s="8" t="n">
        <v>0.4422553819892058</v>
      </c>
      <c r="I139" s="8" t="n">
        <v>0.4275650321773179</v>
      </c>
    </row>
    <row r="140">
      <c r="A140" s="16" t="n">
        <v>46150</v>
      </c>
      <c r="B140" s="8" t="n">
        <v>0.4959094356198072</v>
      </c>
      <c r="C140" s="8" t="n">
        <v>0.5776260850078211</v>
      </c>
      <c r="D140" s="8" t="n">
        <v>0.2929519761268941</v>
      </c>
      <c r="E140" s="8" t="n">
        <v>0.3161377012502516</v>
      </c>
      <c r="F140" s="8" t="n">
        <v>-0.02494503651214204</v>
      </c>
      <c r="G140" s="8" t="n">
        <v>0.615341483527287</v>
      </c>
      <c r="H140" s="8" t="n">
        <v>0.4060235684350294</v>
      </c>
      <c r="I140" s="8" t="n">
        <v>0.2924409367268724</v>
      </c>
    </row>
    <row r="141">
      <c r="A141" s="16" t="n">
        <v>46157</v>
      </c>
      <c r="B141" s="8" t="n">
        <v>0.5779078973185725</v>
      </c>
      <c r="C141" s="8" t="n">
        <v>0.526828514083119</v>
      </c>
      <c r="D141" s="8" t="n">
        <v>0.1979904132932354</v>
      </c>
      <c r="E141" s="8" t="n">
        <v>0.4298181973763101</v>
      </c>
      <c r="F141" s="8" t="n">
        <v>0.03963162809676998</v>
      </c>
      <c r="G141" s="8" t="n">
        <v>0.5339684685817266</v>
      </c>
      <c r="H141" s="8" t="n">
        <v>0.4783233557297146</v>
      </c>
      <c r="I141" s="8" t="n">
        <v>0.3017712369613704</v>
      </c>
    </row>
    <row r="142">
      <c r="A142" s="16" t="n">
        <v>46164</v>
      </c>
      <c r="B142" s="8" t="n">
        <v>0.5772095254482671</v>
      </c>
      <c r="C142" s="8" t="n">
        <v>0.525285004103262</v>
      </c>
      <c r="D142" s="8" t="n">
        <v>0.2609858460628677</v>
      </c>
      <c r="E142" s="8" t="n">
        <v>0.483450603987337</v>
      </c>
      <c r="F142" s="8" t="n">
        <v>0.05449870229904137</v>
      </c>
      <c r="G142" s="8" t="n">
        <v>0.5135183601163239</v>
      </c>
      <c r="H142" s="8" t="n">
        <v>0.4984844820518305</v>
      </c>
      <c r="I142" s="8" t="n">
        <v>0.3145690788417075</v>
      </c>
    </row>
    <row r="143">
      <c r="A143" s="16" t="n">
        <v>46171</v>
      </c>
      <c r="B143" s="8" t="n">
        <v>0.5732526008742417</v>
      </c>
      <c r="C143" s="8" t="n">
        <v>0.5304275564363099</v>
      </c>
      <c r="D143" s="8" t="n">
        <v>0.2895821044835449</v>
      </c>
      <c r="E143" s="8" t="n">
        <v>0.5620355862516891</v>
      </c>
      <c r="F143" s="8" t="n">
        <v>0.06789236381051514</v>
      </c>
      <c r="G143" s="8" t="n">
        <v>0.5000758176000325</v>
      </c>
      <c r="H143" s="8" t="n">
        <v>0.5152516870181711</v>
      </c>
      <c r="I143" s="8" t="n">
        <v>0.2709125335154133</v>
      </c>
    </row>
    <row r="144">
      <c r="A144" s="16" t="n">
        <v>46178</v>
      </c>
      <c r="B144" s="8" t="n">
        <v>0.5606312677438372</v>
      </c>
      <c r="C144" s="8" t="n">
        <v>0.5203599258776097</v>
      </c>
      <c r="D144" s="8" t="n">
        <v>0.2988100795431833</v>
      </c>
      <c r="E144" s="8" t="n">
        <v>0.5702368166286071</v>
      </c>
      <c r="F144" s="8" t="n">
        <v>0.1002864719425285</v>
      </c>
      <c r="G144" s="8" t="n">
        <v>0.5229379119846771</v>
      </c>
      <c r="H144" s="8" t="n">
        <v>0.5216489189311434</v>
      </c>
      <c r="I144" s="8" t="n">
        <v>0.2840399878274967</v>
      </c>
    </row>
    <row r="145">
      <c r="A145" s="16" t="n">
        <v>46185</v>
      </c>
      <c r="B145" s="8" t="n">
        <v>0.521785040688643</v>
      </c>
      <c r="C145" s="8" t="n">
        <v>0.4883966576717269</v>
      </c>
      <c r="D145" s="8" t="n">
        <v>0.2837685064326335</v>
      </c>
      <c r="E145" s="8" t="n">
        <v>0.6121595890844528</v>
      </c>
      <c r="F145" s="8" t="n">
        <v>0.04444471906634952</v>
      </c>
      <c r="G145" s="8" t="n">
        <v>0.5084834522848679</v>
      </c>
      <c r="H145" s="8" t="n">
        <v>0.4984400549782974</v>
      </c>
      <c r="I145" s="8" t="n">
        <v>0.2738108659471331</v>
      </c>
    </row>
    <row r="146">
      <c r="A146" s="16" t="n">
        <v>46192</v>
      </c>
      <c r="B146" s="8" t="n">
        <v>0.3950287624656476</v>
      </c>
      <c r="C146" s="8" t="n">
        <v>0.4775279722972675</v>
      </c>
      <c r="D146" s="8" t="n">
        <v>0.179093911998906</v>
      </c>
      <c r="E146" s="8" t="n">
        <v>0.6293254957413232</v>
      </c>
      <c r="F146" s="8" t="n">
        <v>0.01684994151691776</v>
      </c>
      <c r="G146" s="8" t="n">
        <v>0.4079385618550126</v>
      </c>
      <c r="H146" s="8" t="n">
        <v>0.4014836621603301</v>
      </c>
      <c r="I146" s="8" t="n">
        <v>0.1761133526302892</v>
      </c>
    </row>
    <row r="147">
      <c r="A147" s="16" t="n">
        <v>46199</v>
      </c>
      <c r="B147" s="8" t="n">
        <v>0.4460454116904651</v>
      </c>
      <c r="C147" s="8" t="n">
        <v>0.294477996984241</v>
      </c>
      <c r="D147" s="8" t="n">
        <v>0.102917759940904</v>
      </c>
      <c r="E147" s="8" t="n">
        <v>0.4509942667044782</v>
      </c>
      <c r="F147" s="8" t="n">
        <v>0.1781028022571667</v>
      </c>
      <c r="G147" s="8" t="n">
        <v>0.4454808172349489</v>
      </c>
      <c r="H147" s="8" t="n">
        <v>0.369979407109595</v>
      </c>
      <c r="I147" s="8" t="n">
        <v>0.2265049151065679</v>
      </c>
    </row>
    <row r="148">
      <c r="A148" s="16" t="n">
        <v>46206</v>
      </c>
      <c r="B148" s="8" t="n">
        <v>0.4879477704667149</v>
      </c>
      <c r="C148" s="8" t="n">
        <v>0.4032207486156875</v>
      </c>
      <c r="D148" s="8" t="n">
        <v>0.1770390789078279</v>
      </c>
      <c r="E148" s="8" t="n">
        <v>0.4587113664871407</v>
      </c>
      <c r="F148" s="8" t="n">
        <v>0.2300746586704026</v>
      </c>
      <c r="G148" s="8" t="n">
        <v>0.4998751822074173</v>
      </c>
      <c r="H148" s="8" t="n">
        <v>0.4309660575514142</v>
      </c>
      <c r="I148" s="8" t="n">
        <v>0.1204999604809667</v>
      </c>
    </row>
    <row r="149">
      <c r="A149" s="16" t="n">
        <v>46213</v>
      </c>
      <c r="B149" s="8" t="n">
        <v>0.4427027080344171</v>
      </c>
      <c r="C149" s="8" t="n">
        <v>0.422976200565842</v>
      </c>
      <c r="D149" s="8" t="n">
        <v>0.07427621480371209</v>
      </c>
      <c r="E149" s="8" t="n">
        <v>0.3085485889195011</v>
      </c>
      <c r="F149" s="8" t="n">
        <v>0.1351202460229984</v>
      </c>
      <c r="G149" s="8" t="n">
        <v>0.4124528191763173</v>
      </c>
      <c r="H149" s="8" t="n">
        <v>0.3605007040479092</v>
      </c>
      <c r="I149" s="8" t="n">
        <v>0.1004573394728107</v>
      </c>
    </row>
    <row r="150">
      <c r="A150" s="16" t="n">
        <v>46220</v>
      </c>
      <c r="B150" s="8" t="n">
        <v>0.4031241686086316</v>
      </c>
      <c r="C150" s="8" t="n">
        <v>0.4025069600518162</v>
      </c>
      <c r="D150" s="8" t="n">
        <v>0.06469566600675068</v>
      </c>
      <c r="E150" s="8" t="n">
        <v>0.3362367344609479</v>
      </c>
      <c r="F150" s="8" t="n">
        <v>0.1742988420438299</v>
      </c>
      <c r="G150" s="8" t="n">
        <v>0.4019039290446988</v>
      </c>
      <c r="H150" s="8" t="n">
        <v>0.3690703317528233</v>
      </c>
      <c r="I150" s="8" t="n">
        <v>0.07146946746863438</v>
      </c>
    </row>
    <row r="151">
      <c r="A151" s="16" t="n">
        <v>46227</v>
      </c>
      <c r="B151" s="8" t="n">
        <v>0.4049350022031294</v>
      </c>
      <c r="C151" s="8" t="n">
        <v>0.4150162939209782</v>
      </c>
      <c r="D151" s="8" t="n">
        <v>0.07454835292554042</v>
      </c>
      <c r="E151" s="8" t="n">
        <v>0.344649289850812</v>
      </c>
      <c r="F151" s="8" t="n">
        <v>0.1656256742242524</v>
      </c>
      <c r="G151" s="8" t="n">
        <v>0.4012924557228948</v>
      </c>
      <c r="H151" s="8" t="n">
        <v>0.3729708727868534</v>
      </c>
      <c r="I151" s="8" t="n">
        <v>0.07503454367497087</v>
      </c>
    </row>
    <row r="152">
      <c r="A152" s="16" t="n">
        <v>46234</v>
      </c>
      <c r="B152" s="8" t="n">
        <v>0.3755847493970121</v>
      </c>
      <c r="C152" s="8" t="n">
        <v>0.437530480933031</v>
      </c>
      <c r="D152" s="8" t="n">
        <v>0.07504062910808611</v>
      </c>
      <c r="E152" s="8" t="n">
        <v>0.3593032894571811</v>
      </c>
      <c r="F152" s="8" t="n">
        <v>0.1616954244872943</v>
      </c>
      <c r="G152" s="8" t="n">
        <v>0.3878849199336254</v>
      </c>
      <c r="H152" s="8" t="n">
        <v>0.3674440194270966</v>
      </c>
      <c r="I152" s="8" t="n">
        <v>0.07255403396606919</v>
      </c>
    </row>
    <row r="153">
      <c r="A153" s="16" t="n">
        <v>46241</v>
      </c>
      <c r="B153" s="8" t="n">
        <v>0.4089392094994042</v>
      </c>
      <c r="C153" s="8" t="n">
        <v>0.5110092045490882</v>
      </c>
      <c r="D153" s="8" t="n">
        <v>0.1876923936787956</v>
      </c>
      <c r="E153" s="8" t="n">
        <v>0.4472667844378361</v>
      </c>
      <c r="F153" s="8" t="n">
        <v>0.2016219661497873</v>
      </c>
      <c r="G153" s="8" t="n">
        <v>0.4191321321790092</v>
      </c>
      <c r="H153" s="8" t="n">
        <v>0.4140356708392067</v>
      </c>
      <c r="I153" s="8" t="n">
        <v>0.009194111816551279</v>
      </c>
    </row>
    <row r="154">
      <c r="A154" s="16" t="n">
        <v>46248</v>
      </c>
      <c r="B154" s="8" t="n">
        <v>0.4967457250282649</v>
      </c>
      <c r="C154" s="8" t="n">
        <v>0.6518695456622905</v>
      </c>
      <c r="D154" s="8" t="n">
        <v>0.3649335429060562</v>
      </c>
      <c r="E154" s="8" t="n">
        <v>0.4596624094578366</v>
      </c>
      <c r="F154" s="8" t="n">
        <v>0.1914475245517499</v>
      </c>
      <c r="G154" s="8" t="n">
        <v>0.6125476264988059</v>
      </c>
      <c r="H154" s="8" t="n">
        <v>0.4782040672430508</v>
      </c>
      <c r="I154" s="8" t="n">
        <v>0.1745064781627005</v>
      </c>
    </row>
    <row r="155">
      <c r="A155" s="16" t="n">
        <v>46255</v>
      </c>
      <c r="B155" s="8" t="n">
        <v>0.436024395054545</v>
      </c>
      <c r="C155" s="8" t="n">
        <v>0.6278585238863851</v>
      </c>
      <c r="D155" s="8" t="n">
        <v>0.3007376786656307</v>
      </c>
      <c r="E155" s="8" t="n">
        <v>0.4469301247095184</v>
      </c>
      <c r="F155" s="8" t="n">
        <v>0.2706643369786604</v>
      </c>
      <c r="G155" s="8" t="n">
        <v>0.6133961410036859</v>
      </c>
      <c r="H155" s="8" t="n">
        <v>0.4414772598820317</v>
      </c>
      <c r="I155" s="8" t="n">
        <v>0.1872144661489264</v>
      </c>
    </row>
    <row r="156">
      <c r="A156" s="16" t="n">
        <v>46262</v>
      </c>
      <c r="B156" s="8" t="n">
        <v>0.473481841573291</v>
      </c>
      <c r="C156" s="8" t="n">
        <v>0.6855133283010061</v>
      </c>
      <c r="D156" s="8" t="n">
        <v>0.3361078169972248</v>
      </c>
      <c r="E156" s="8" t="n">
        <v>0.4857996388688866</v>
      </c>
      <c r="F156" s="8" t="n">
        <v>0.3214388871401518</v>
      </c>
      <c r="G156" s="8" t="n">
        <v>0.7370245753314615</v>
      </c>
      <c r="H156" s="8" t="n">
        <v>0.4796407402210888</v>
      </c>
      <c r="I156" s="8" t="n">
        <v>0.133230444400435</v>
      </c>
    </row>
    <row r="157">
      <c r="A157" s="16" t="n">
        <v>46269</v>
      </c>
      <c r="B157" s="8" t="n">
        <v>0.5042109073793004</v>
      </c>
      <c r="C157" s="8" t="n">
        <v>0.7191901007348602</v>
      </c>
      <c r="D157" s="8" t="n">
        <v>0.3863558725290502</v>
      </c>
      <c r="E157" s="8" t="n">
        <v>0.5041247691095235</v>
      </c>
      <c r="F157" s="8" t="n">
        <v>0.3332217423752746</v>
      </c>
      <c r="G157" s="8" t="n">
        <v>0.7732644608646385</v>
      </c>
      <c r="H157" s="8" t="n">
        <v>0.5041678382444119</v>
      </c>
      <c r="I157" s="8" t="n">
        <v>0.1561179997159579</v>
      </c>
    </row>
    <row r="158">
      <c r="A158" s="16" t="n">
        <v>46276</v>
      </c>
      <c r="B158" s="8" t="n">
        <v>0.5009964565144049</v>
      </c>
      <c r="C158" s="8" t="n">
        <v>0.7128416437193068</v>
      </c>
      <c r="D158" s="8" t="n">
        <v>0.3411709233999253</v>
      </c>
      <c r="E158" s="8" t="n">
        <v>0.4884875667612015</v>
      </c>
      <c r="F158" s="8" t="n">
        <v>0.3170230368664008</v>
      </c>
      <c r="G158" s="8" t="n">
        <v>0.8023533564239592</v>
      </c>
      <c r="H158" s="8" t="n">
        <v>0.4947420116378032</v>
      </c>
      <c r="I158" s="8" t="n">
        <v>0.1637581248961774</v>
      </c>
    </row>
    <row r="159">
      <c r="A159" s="16" t="n">
        <v>46283</v>
      </c>
      <c r="B159" s="8" t="n">
        <v>0.502545990003853</v>
      </c>
      <c r="C159" s="8" t="n">
        <v>0.7048521790701987</v>
      </c>
      <c r="D159" s="8" t="n">
        <v>0.3302274106149842</v>
      </c>
      <c r="E159" s="8" t="n">
        <v>0.4805157538886118</v>
      </c>
      <c r="F159" s="8" t="n">
        <v>0.325621453055624</v>
      </c>
      <c r="G159" s="8" t="n">
        <v>0.8007729182252931</v>
      </c>
      <c r="H159" s="8" t="n">
        <v>0.4915308719462324</v>
      </c>
      <c r="I159" s="8" t="n">
        <v>0.1606675367393466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7" t="inlineStr">
        <is>
          <t>주</t>
        </is>
      </c>
      <c r="B1" s="7" t="inlineStr">
        <is>
          <t>삼성전자·우·SK하이닉스 / KOSPI 시가총액</t>
        </is>
      </c>
    </row>
    <row r="2">
      <c r="A2" s="16" t="n">
        <v>44274</v>
      </c>
      <c r="B2" s="9" t="n">
        <v>0.3072183404862303</v>
      </c>
    </row>
    <row r="3">
      <c r="A3" s="16" t="n">
        <v>44281</v>
      </c>
      <c r="B3" s="9" t="n">
        <v>0.3045083252424777</v>
      </c>
    </row>
    <row r="4">
      <c r="A4" s="16" t="n">
        <v>44288</v>
      </c>
      <c r="B4" s="9" t="n">
        <v>0.308869420386823</v>
      </c>
    </row>
    <row r="5">
      <c r="A5" s="16" t="n">
        <v>44295</v>
      </c>
      <c r="B5" s="9" t="n">
        <v>0.303521258287221</v>
      </c>
    </row>
    <row r="6">
      <c r="A6" s="16" t="n">
        <v>44302</v>
      </c>
      <c r="B6" s="9" t="n">
        <v>0.297125384668082</v>
      </c>
    </row>
    <row r="7">
      <c r="A7" s="16" t="n">
        <v>44309</v>
      </c>
      <c r="B7" s="9" t="n">
        <v>0.2935077644706477</v>
      </c>
    </row>
    <row r="8">
      <c r="A8" s="16" t="n">
        <v>44316</v>
      </c>
      <c r="B8" s="9" t="n">
        <v>0.291371263798549</v>
      </c>
    </row>
    <row r="9">
      <c r="A9" s="16" t="n">
        <v>44323</v>
      </c>
      <c r="B9" s="9" t="n">
        <v>0.2888998031893176</v>
      </c>
    </row>
    <row r="10">
      <c r="A10" s="16" t="n">
        <v>44330</v>
      </c>
      <c r="B10" s="9" t="n">
        <v>0.2829357342574291</v>
      </c>
    </row>
    <row r="11">
      <c r="A11" s="16" t="n">
        <v>44337</v>
      </c>
      <c r="B11" s="9" t="n">
        <v>0.2836641125323419</v>
      </c>
    </row>
    <row r="12">
      <c r="A12" s="16" t="n">
        <v>44344</v>
      </c>
      <c r="B12" s="9" t="n">
        <v>0.2819732535813995</v>
      </c>
    </row>
    <row r="13">
      <c r="A13" s="16" t="n">
        <v>44351</v>
      </c>
      <c r="B13" s="9" t="n">
        <v>0.284710711484387</v>
      </c>
    </row>
    <row r="14">
      <c r="A14" s="16" t="n">
        <v>44358</v>
      </c>
      <c r="B14" s="9" t="n">
        <v>0.2806489373226927</v>
      </c>
    </row>
    <row r="15">
      <c r="A15" s="16" t="n">
        <v>44365</v>
      </c>
      <c r="B15" s="9" t="n">
        <v>0.2765579670996253</v>
      </c>
    </row>
    <row r="16">
      <c r="A16" s="16" t="n">
        <v>44372</v>
      </c>
      <c r="B16" s="9" t="n">
        <v>0.2777794400278065</v>
      </c>
    </row>
    <row r="17">
      <c r="A17" s="16" t="n">
        <v>44379</v>
      </c>
      <c r="B17" s="9" t="n">
        <v>0.2729416125672203</v>
      </c>
    </row>
    <row r="18">
      <c r="A18" s="16" t="n">
        <v>44386</v>
      </c>
      <c r="B18" s="9" t="n">
        <v>0.2752851412663895</v>
      </c>
    </row>
    <row r="19">
      <c r="A19" s="16" t="n">
        <v>44393</v>
      </c>
      <c r="B19" s="9" t="n">
        <v>0.271133783497906</v>
      </c>
    </row>
    <row r="20">
      <c r="A20" s="16" t="n">
        <v>44400</v>
      </c>
      <c r="B20" s="9" t="n">
        <v>0.2707869440037702</v>
      </c>
    </row>
    <row r="21">
      <c r="A21" s="16" t="n">
        <v>44407</v>
      </c>
      <c r="B21" s="9" t="n">
        <v>0.2707418471116242</v>
      </c>
    </row>
    <row r="22">
      <c r="A22" s="16" t="n">
        <v>44414</v>
      </c>
      <c r="B22" s="9" t="n">
        <v>0.2715959461808343</v>
      </c>
    </row>
    <row r="23">
      <c r="A23" s="16" t="n">
        <v>44421</v>
      </c>
      <c r="B23" s="9" t="n">
        <v>0.251738432960519</v>
      </c>
    </row>
    <row r="24">
      <c r="A24" s="16" t="n">
        <v>44428</v>
      </c>
      <c r="B24" s="9" t="n">
        <v>0.2556538756317093</v>
      </c>
    </row>
    <row r="25">
      <c r="A25" s="16" t="n">
        <v>44435</v>
      </c>
      <c r="B25" s="9" t="n">
        <v>0.2547084982022491</v>
      </c>
    </row>
    <row r="26">
      <c r="A26" s="16" t="n">
        <v>44442</v>
      </c>
      <c r="B26" s="9" t="n">
        <v>0.2563644227730466</v>
      </c>
    </row>
    <row r="27">
      <c r="A27" s="16" t="n">
        <v>44449</v>
      </c>
      <c r="B27" s="9" t="n">
        <v>0.258142883058303</v>
      </c>
    </row>
    <row r="28">
      <c r="A28" s="16" t="n">
        <v>44456</v>
      </c>
      <c r="B28" s="9" t="n">
        <v>0.2616987055611795</v>
      </c>
    </row>
    <row r="29">
      <c r="A29" s="16" t="n">
        <v>44463</v>
      </c>
      <c r="B29" s="9" t="n">
        <v>0.2622183553489583</v>
      </c>
    </row>
    <row r="30">
      <c r="A30" s="16" t="n">
        <v>44470</v>
      </c>
      <c r="B30" s="9" t="n">
        <v>0.2576850025369765</v>
      </c>
    </row>
    <row r="31">
      <c r="A31" s="16" t="n">
        <v>44477</v>
      </c>
      <c r="B31" s="9" t="n">
        <v>0.2557206732572977</v>
      </c>
    </row>
    <row r="32">
      <c r="A32" s="16" t="n">
        <v>44484</v>
      </c>
      <c r="B32" s="9" t="n">
        <v>0.2477929871704406</v>
      </c>
    </row>
    <row r="33">
      <c r="A33" s="16" t="n">
        <v>44491</v>
      </c>
      <c r="B33" s="9" t="n">
        <v>0.2493933284331087</v>
      </c>
    </row>
    <row r="34">
      <c r="A34" s="16" t="n">
        <v>44498</v>
      </c>
      <c r="B34" s="9" t="n">
        <v>0.2520820054888752</v>
      </c>
    </row>
    <row r="35">
      <c r="A35" s="16" t="n">
        <v>44505</v>
      </c>
      <c r="B35" s="9" t="n">
        <v>0.2523956870160325</v>
      </c>
    </row>
    <row r="36">
      <c r="A36" s="16" t="n">
        <v>44512</v>
      </c>
      <c r="B36" s="9" t="n">
        <v>0.2529916691362734</v>
      </c>
    </row>
    <row r="37">
      <c r="A37" s="16" t="n">
        <v>44519</v>
      </c>
      <c r="B37" s="9" t="n">
        <v>0.2557642193590703</v>
      </c>
    </row>
    <row r="38">
      <c r="A38" s="16" t="n">
        <v>44526</v>
      </c>
      <c r="B38" s="9" t="n">
        <v>0.2632529085824575</v>
      </c>
    </row>
    <row r="39">
      <c r="A39" s="16" t="n">
        <v>44533</v>
      </c>
      <c r="B39" s="9" t="n">
        <v>0.2709567628810042</v>
      </c>
    </row>
    <row r="40">
      <c r="A40" s="16" t="n">
        <v>44540</v>
      </c>
      <c r="B40" s="9" t="n">
        <v>0.2717849611161977</v>
      </c>
    </row>
    <row r="41">
      <c r="A41" s="16" t="n">
        <v>44547</v>
      </c>
      <c r="B41" s="9" t="n">
        <v>0.2744846808305406</v>
      </c>
    </row>
    <row r="42">
      <c r="A42" s="16" t="n">
        <v>44554</v>
      </c>
      <c r="B42" s="9" t="n">
        <v>0.2841490742726351</v>
      </c>
    </row>
    <row r="43">
      <c r="A43" s="16" t="n">
        <v>44561</v>
      </c>
      <c r="B43" s="9" t="n">
        <v>0.2820192662392258</v>
      </c>
    </row>
    <row r="44">
      <c r="A44" s="16" t="n">
        <v>44568</v>
      </c>
      <c r="B44" s="9" t="n">
        <v>0.2828010356203676</v>
      </c>
    </row>
    <row r="45">
      <c r="A45" s="16" t="n">
        <v>44575</v>
      </c>
      <c r="B45" s="9" t="n">
        <v>0.2839134872454022</v>
      </c>
    </row>
    <row r="46">
      <c r="A46" s="16" t="n">
        <v>44582</v>
      </c>
      <c r="B46" s="9" t="n">
        <v>0.2833873527480388</v>
      </c>
    </row>
    <row r="47">
      <c r="A47" s="16" t="n">
        <v>44589</v>
      </c>
      <c r="B47" s="9" t="n">
        <v>0.2768046469274351</v>
      </c>
    </row>
    <row r="48">
      <c r="A48" s="16" t="n">
        <v>44596</v>
      </c>
      <c r="B48" s="9" t="n">
        <v>0.2719591750582886</v>
      </c>
    </row>
    <row r="49">
      <c r="A49" s="16" t="n">
        <v>44603</v>
      </c>
      <c r="B49" s="9" t="n">
        <v>0.277567834946955</v>
      </c>
    </row>
    <row r="50">
      <c r="A50" s="16" t="n">
        <v>44610</v>
      </c>
      <c r="B50" s="9" t="n">
        <v>0.2756756358673838</v>
      </c>
    </row>
    <row r="51">
      <c r="A51" s="16" t="n">
        <v>44617</v>
      </c>
      <c r="B51" s="9" t="n">
        <v>0.2724213198406261</v>
      </c>
    </row>
    <row r="52">
      <c r="A52" s="16" t="n">
        <v>44624</v>
      </c>
      <c r="B52" s="9" t="n">
        <v>0.2679407360616688</v>
      </c>
    </row>
    <row r="53">
      <c r="A53" s="16" t="n">
        <v>44631</v>
      </c>
      <c r="B53" s="9" t="n">
        <v>0.2655522817273068</v>
      </c>
    </row>
    <row r="54">
      <c r="A54" s="16" t="n">
        <v>44638</v>
      </c>
      <c r="B54" s="9" t="n">
        <v>0.2658391331427338</v>
      </c>
    </row>
    <row r="55">
      <c r="A55" s="16" t="n">
        <v>44645</v>
      </c>
      <c r="B55" s="9" t="n">
        <v>0.2590199258605557</v>
      </c>
    </row>
    <row r="56">
      <c r="A56" s="16" t="n">
        <v>44652</v>
      </c>
      <c r="B56" s="9" t="n">
        <v>0.2551049740441051</v>
      </c>
    </row>
    <row r="57">
      <c r="A57" s="16" t="n">
        <v>44659</v>
      </c>
      <c r="B57" s="9" t="n">
        <v>0.2535419749365756</v>
      </c>
    </row>
    <row r="58">
      <c r="A58" s="16" t="n">
        <v>44666</v>
      </c>
      <c r="B58" s="9" t="n">
        <v>0.2485316906835922</v>
      </c>
    </row>
    <row r="59">
      <c r="A59" s="16" t="n">
        <v>44673</v>
      </c>
      <c r="B59" s="9" t="n">
        <v>0.2497298861923109</v>
      </c>
    </row>
    <row r="60">
      <c r="A60" s="16" t="n">
        <v>44680</v>
      </c>
      <c r="B60" s="9" t="n">
        <v>0.2514597839683477</v>
      </c>
    </row>
    <row r="61">
      <c r="A61" s="16" t="n">
        <v>44687</v>
      </c>
      <c r="B61" s="9" t="n">
        <v>0.2518258393161354</v>
      </c>
    </row>
    <row r="62">
      <c r="A62" s="16" t="n">
        <v>44694</v>
      </c>
      <c r="B62" s="9" t="n">
        <v>0.2570559176975745</v>
      </c>
    </row>
    <row r="63">
      <c r="A63" s="16" t="n">
        <v>44701</v>
      </c>
      <c r="B63" s="9" t="n">
        <v>0.2588590388409844</v>
      </c>
    </row>
    <row r="64">
      <c r="A64" s="16" t="n">
        <v>44708</v>
      </c>
      <c r="B64" s="9" t="n">
        <v>0.2522086005817619</v>
      </c>
    </row>
    <row r="65">
      <c r="A65" s="16" t="n">
        <v>44715</v>
      </c>
      <c r="B65" s="9" t="n">
        <v>0.2503757268119634</v>
      </c>
    </row>
    <row r="66">
      <c r="A66" s="16" t="n">
        <v>44722</v>
      </c>
      <c r="B66" s="9" t="n">
        <v>0.2468461137491325</v>
      </c>
    </row>
    <row r="67">
      <c r="A67" s="16" t="n">
        <v>44729</v>
      </c>
      <c r="B67" s="9" t="n">
        <v>0.246039306302121</v>
      </c>
    </row>
    <row r="68">
      <c r="A68" s="16" t="n">
        <v>44736</v>
      </c>
      <c r="B68" s="9" t="n">
        <v>0.2466076024340691</v>
      </c>
    </row>
    <row r="69">
      <c r="A69" s="16" t="n">
        <v>44743</v>
      </c>
      <c r="B69" s="9" t="n">
        <v>0.2433903314818001</v>
      </c>
    </row>
    <row r="70">
      <c r="A70" s="16" t="n">
        <v>44750</v>
      </c>
      <c r="B70" s="9" t="n">
        <v>0.2505786715406824</v>
      </c>
    </row>
    <row r="71">
      <c r="A71" s="16" t="n">
        <v>44757</v>
      </c>
      <c r="B71" s="9" t="n">
        <v>0.2585665094197799</v>
      </c>
    </row>
    <row r="72">
      <c r="A72" s="16" t="n">
        <v>44764</v>
      </c>
      <c r="B72" s="9" t="n">
        <v>0.2570871622830446</v>
      </c>
    </row>
    <row r="73">
      <c r="A73" s="16" t="n">
        <v>44771</v>
      </c>
      <c r="B73" s="9" t="n">
        <v>0.2509030924421889</v>
      </c>
    </row>
    <row r="74">
      <c r="A74" s="16" t="n">
        <v>44778</v>
      </c>
      <c r="B74" s="9" t="n">
        <v>0.2472464334832749</v>
      </c>
    </row>
    <row r="75">
      <c r="A75" s="16" t="n">
        <v>44785</v>
      </c>
      <c r="B75" s="9" t="n">
        <v>0.237447964660635</v>
      </c>
    </row>
    <row r="76">
      <c r="A76" s="16" t="n">
        <v>44792</v>
      </c>
      <c r="B76" s="9" t="n">
        <v>0.2442437041641292</v>
      </c>
    </row>
    <row r="77">
      <c r="A77" s="16" t="n">
        <v>44799</v>
      </c>
      <c r="B77" s="9" t="n">
        <v>0.2417848484628874</v>
      </c>
    </row>
    <row r="78">
      <c r="A78" s="16" t="n">
        <v>44806</v>
      </c>
      <c r="B78" s="9" t="n">
        <v>0.2389165899394075</v>
      </c>
    </row>
    <row r="79">
      <c r="A79" s="16" t="n">
        <v>44813</v>
      </c>
      <c r="B79" s="9" t="n">
        <v>0.2344279155355666</v>
      </c>
    </row>
    <row r="80">
      <c r="A80" s="16" t="n">
        <v>44820</v>
      </c>
      <c r="B80" s="9" t="n">
        <v>0.2366289832117317</v>
      </c>
    </row>
    <row r="81">
      <c r="A81" s="16" t="n">
        <v>44827</v>
      </c>
      <c r="B81" s="9" t="n">
        <v>0.2366521612628153</v>
      </c>
    </row>
    <row r="82">
      <c r="A82" s="16" t="n">
        <v>44834</v>
      </c>
      <c r="B82" s="9" t="n">
        <v>0.2449796568753564</v>
      </c>
    </row>
    <row r="83">
      <c r="A83" s="16" t="n">
        <v>44841</v>
      </c>
      <c r="B83" s="9" t="n">
        <v>0.251957058897131</v>
      </c>
    </row>
    <row r="84">
      <c r="A84" s="16" t="n">
        <v>44848</v>
      </c>
      <c r="B84" s="9" t="n">
        <v>0.2565443798742881</v>
      </c>
    </row>
    <row r="85">
      <c r="A85" s="16" t="n">
        <v>44855</v>
      </c>
      <c r="B85" s="9" t="n">
        <v>0.2531395120623469</v>
      </c>
    </row>
    <row r="86">
      <c r="A86" s="16" t="n">
        <v>44862</v>
      </c>
      <c r="B86" s="9" t="n">
        <v>0.2487704604250923</v>
      </c>
    </row>
    <row r="87">
      <c r="A87" s="16" t="n">
        <v>44869</v>
      </c>
      <c r="B87" s="9" t="n">
        <v>0.2481289433174197</v>
      </c>
    </row>
    <row r="88">
      <c r="A88" s="16" t="n">
        <v>44876</v>
      </c>
      <c r="B88" s="9" t="n">
        <v>0.2501615471186367</v>
      </c>
    </row>
    <row r="89">
      <c r="A89" s="16" t="n">
        <v>44883</v>
      </c>
      <c r="B89" s="9" t="n">
        <v>0.2484780791321662</v>
      </c>
    </row>
    <row r="90">
      <c r="A90" s="16" t="n">
        <v>44890</v>
      </c>
      <c r="B90" s="9" t="n">
        <v>0.2448882763517799</v>
      </c>
    </row>
    <row r="91">
      <c r="A91" s="16" t="n">
        <v>44897</v>
      </c>
      <c r="B91" s="9" t="n">
        <v>0.2421523800431862</v>
      </c>
    </row>
    <row r="92">
      <c r="A92" s="16" t="n">
        <v>44904</v>
      </c>
      <c r="B92" s="9" t="n">
        <v>0.2461999547915233</v>
      </c>
    </row>
    <row r="93">
      <c r="A93" s="16" t="n">
        <v>44911</v>
      </c>
      <c r="B93" s="9" t="n">
        <v>0.2447841545703865</v>
      </c>
    </row>
    <row r="94">
      <c r="A94" s="16" t="n">
        <v>44918</v>
      </c>
      <c r="B94" s="9" t="n">
        <v>0.2441705432597178</v>
      </c>
    </row>
    <row r="95">
      <c r="A95" s="16" t="n">
        <v>44925</v>
      </c>
      <c r="B95" s="9" t="n">
        <v>0.2412157282126867</v>
      </c>
    </row>
    <row r="96">
      <c r="A96" s="16" t="n">
        <v>44932</v>
      </c>
      <c r="B96" s="9" t="n">
        <v>0.2522349617425114</v>
      </c>
    </row>
    <row r="97">
      <c r="A97" s="16" t="n">
        <v>44939</v>
      </c>
      <c r="B97" s="9" t="n">
        <v>0.2494533459770077</v>
      </c>
    </row>
    <row r="98">
      <c r="A98" s="16" t="n">
        <v>44946</v>
      </c>
      <c r="B98" s="9" t="n">
        <v>0.2525093860608917</v>
      </c>
    </row>
    <row r="99">
      <c r="A99" s="16" t="n">
        <v>44953</v>
      </c>
      <c r="B99" s="9" t="n">
        <v>0.2543286432122933</v>
      </c>
    </row>
    <row r="100">
      <c r="A100" s="16" t="n">
        <v>44960</v>
      </c>
      <c r="B100" s="9" t="n">
        <v>0.2521331637884053</v>
      </c>
    </row>
    <row r="101">
      <c r="A101" s="16" t="n">
        <v>44967</v>
      </c>
      <c r="B101" s="9" t="n">
        <v>0.2503613807404296</v>
      </c>
    </row>
    <row r="102">
      <c r="A102" s="16" t="n">
        <v>44974</v>
      </c>
      <c r="B102" s="9" t="n">
        <v>0.250600307444387</v>
      </c>
    </row>
    <row r="103">
      <c r="A103" s="16" t="n">
        <v>44981</v>
      </c>
      <c r="B103" s="9" t="n">
        <v>0.2490263711268071</v>
      </c>
    </row>
    <row r="104">
      <c r="A104" s="16" t="n">
        <v>44988</v>
      </c>
      <c r="B104" s="9" t="n">
        <v>0.2440397036688566</v>
      </c>
    </row>
    <row r="105">
      <c r="A105" s="16" t="n">
        <v>44995</v>
      </c>
      <c r="B105" s="9" t="n">
        <v>0.242871421951205</v>
      </c>
    </row>
    <row r="106">
      <c r="A106" s="16" t="n">
        <v>45002</v>
      </c>
      <c r="B106" s="9" t="n">
        <v>0.2488704644681328</v>
      </c>
    </row>
    <row r="107">
      <c r="A107" s="16" t="n">
        <v>45009</v>
      </c>
      <c r="B107" s="9" t="n">
        <v>0.2532876969362958</v>
      </c>
    </row>
    <row r="108">
      <c r="A108" s="16" t="n">
        <v>45016</v>
      </c>
      <c r="B108" s="9" t="n">
        <v>0.2507350104183849</v>
      </c>
    </row>
    <row r="109">
      <c r="A109" s="16" t="n">
        <v>45023</v>
      </c>
      <c r="B109" s="9" t="n">
        <v>0.2529165430701975</v>
      </c>
    </row>
    <row r="110">
      <c r="A110" s="16" t="n">
        <v>45030</v>
      </c>
      <c r="B110" s="9" t="n">
        <v>0.2455631975665753</v>
      </c>
    </row>
    <row r="111">
      <c r="A111" s="16" t="n">
        <v>45037</v>
      </c>
      <c r="B111" s="9" t="n">
        <v>0.2499110456382514</v>
      </c>
    </row>
    <row r="112">
      <c r="A112" s="16" t="n">
        <v>45044</v>
      </c>
      <c r="B112" s="9" t="n">
        <v>0.2535618496904484</v>
      </c>
    </row>
    <row r="113">
      <c r="A113" s="16" t="n">
        <v>45051</v>
      </c>
      <c r="B113" s="9" t="n">
        <v>0.2517655396685414</v>
      </c>
    </row>
    <row r="114">
      <c r="A114" s="16" t="n">
        <v>45058</v>
      </c>
      <c r="B114" s="9" t="n">
        <v>0.2506998012767782</v>
      </c>
    </row>
    <row r="115">
      <c r="A115" s="16" t="n">
        <v>45065</v>
      </c>
      <c r="B115" s="9" t="n">
        <v>0.262081883586209</v>
      </c>
    </row>
    <row r="116">
      <c r="A116" s="16" t="n">
        <v>45072</v>
      </c>
      <c r="B116" s="9" t="n">
        <v>0.2702834308108739</v>
      </c>
    </row>
    <row r="117">
      <c r="A117" s="16" t="n">
        <v>45079</v>
      </c>
      <c r="B117" s="9" t="n">
        <v>0.2721878767814949</v>
      </c>
    </row>
    <row r="118">
      <c r="A118" s="16" t="n">
        <v>45086</v>
      </c>
      <c r="B118" s="9" t="n">
        <v>0.2697476814770302</v>
      </c>
    </row>
    <row r="119">
      <c r="A119" s="16" t="n">
        <v>45093</v>
      </c>
      <c r="B119" s="9" t="n">
        <v>0.2714589448691199</v>
      </c>
    </row>
    <row r="120">
      <c r="A120" s="16" t="n">
        <v>45100</v>
      </c>
      <c r="B120" s="9" t="n">
        <v>0.2740345367263657</v>
      </c>
    </row>
    <row r="121">
      <c r="A121" s="16" t="n">
        <v>45107</v>
      </c>
      <c r="B121" s="9" t="n">
        <v>0.2770617849473372</v>
      </c>
    </row>
    <row r="122">
      <c r="A122" s="16" t="n">
        <v>45114</v>
      </c>
      <c r="B122" s="9" t="n">
        <v>0.2726302070778317</v>
      </c>
    </row>
    <row r="123">
      <c r="A123" s="16" t="n">
        <v>45121</v>
      </c>
      <c r="B123" s="9" t="n">
        <v>0.2751384216887742</v>
      </c>
    </row>
    <row r="124">
      <c r="A124" s="16" t="n">
        <v>45128</v>
      </c>
      <c r="B124" s="9" t="n">
        <v>0.2666671964529503</v>
      </c>
    </row>
    <row r="125">
      <c r="A125" s="16" t="n">
        <v>45135</v>
      </c>
      <c r="B125" s="9" t="n">
        <v>0.272164267800616</v>
      </c>
    </row>
    <row r="126">
      <c r="A126" s="16" t="n">
        <v>45142</v>
      </c>
      <c r="B126" s="9" t="n">
        <v>0.2626800798309939</v>
      </c>
    </row>
    <row r="127">
      <c r="A127" s="16" t="n">
        <v>45149</v>
      </c>
      <c r="B127" s="9" t="n">
        <v>0.2595637127740436</v>
      </c>
    </row>
    <row r="128">
      <c r="A128" s="16" t="n">
        <v>45156</v>
      </c>
      <c r="B128" s="9" t="n">
        <v>0.2649503534386493</v>
      </c>
    </row>
    <row r="129">
      <c r="A129" s="16" t="n">
        <v>45163</v>
      </c>
      <c r="B129" s="9" t="n">
        <v>0.2657093829191555</v>
      </c>
    </row>
    <row r="130">
      <c r="A130" s="16" t="n">
        <v>45170</v>
      </c>
      <c r="B130" s="9" t="n">
        <v>0.2744460059971883</v>
      </c>
    </row>
    <row r="131">
      <c r="A131" s="16" t="n">
        <v>45177</v>
      </c>
      <c r="B131" s="9" t="n">
        <v>0.2718845651002617</v>
      </c>
    </row>
    <row r="132">
      <c r="A132" s="16" t="n">
        <v>45184</v>
      </c>
      <c r="B132" s="9" t="n">
        <v>0.2746565753037315</v>
      </c>
    </row>
    <row r="133">
      <c r="A133" s="16" t="n">
        <v>45191</v>
      </c>
      <c r="B133" s="9" t="n">
        <v>0.2722017551978145</v>
      </c>
    </row>
    <row r="134">
      <c r="A134" s="16" t="n">
        <v>45198</v>
      </c>
      <c r="B134" s="9" t="n">
        <v>0.2744030015627609</v>
      </c>
    </row>
    <row r="135">
      <c r="A135" s="16" t="n">
        <v>45205</v>
      </c>
      <c r="B135" s="9" t="n">
        <v>0.2741282260100905</v>
      </c>
    </row>
    <row r="136">
      <c r="A136" s="16" t="n">
        <v>45212</v>
      </c>
      <c r="B136" s="9" t="n">
        <v>0.2773213306450912</v>
      </c>
    </row>
    <row r="137">
      <c r="A137" s="16" t="n">
        <v>45219</v>
      </c>
      <c r="B137" s="9" t="n">
        <v>0.2895203240444955</v>
      </c>
    </row>
    <row r="138">
      <c r="A138" s="16" t="n">
        <v>45226</v>
      </c>
      <c r="B138" s="9" t="n">
        <v>0.2903058521908329</v>
      </c>
    </row>
    <row r="139">
      <c r="A139" s="16" t="n">
        <v>45233</v>
      </c>
      <c r="B139" s="9" t="n">
        <v>0.2932544412378417</v>
      </c>
    </row>
    <row r="140">
      <c r="A140" s="16" t="n">
        <v>45240</v>
      </c>
      <c r="B140" s="9" t="n">
        <v>0.2925011932897704</v>
      </c>
    </row>
    <row r="141">
      <c r="A141" s="16" t="n">
        <v>45247</v>
      </c>
      <c r="B141" s="9" t="n">
        <v>0.2910797833773515</v>
      </c>
    </row>
    <row r="142">
      <c r="A142" s="16" t="n">
        <v>45254</v>
      </c>
      <c r="B142" s="9" t="n">
        <v>0.2848325041459345</v>
      </c>
    </row>
    <row r="143">
      <c r="A143" s="16" t="n">
        <v>45261</v>
      </c>
      <c r="B143" s="9" t="n">
        <v>0.2863859335248912</v>
      </c>
    </row>
    <row r="144">
      <c r="A144" s="16" t="n">
        <v>45268</v>
      </c>
      <c r="B144" s="9" t="n">
        <v>0.2850344213824332</v>
      </c>
    </row>
    <row r="145">
      <c r="A145" s="16" t="n">
        <v>45275</v>
      </c>
      <c r="B145" s="9" t="n">
        <v>0.2866784196697093</v>
      </c>
    </row>
    <row r="146">
      <c r="A146" s="16" t="n">
        <v>45282</v>
      </c>
      <c r="B146" s="9" t="n">
        <v>0.2904277414454677</v>
      </c>
    </row>
    <row r="147">
      <c r="A147" s="16" t="n">
        <v>45289</v>
      </c>
      <c r="B147" s="9" t="n">
        <v>0.2929430763373049</v>
      </c>
    </row>
    <row r="148">
      <c r="A148" s="16" t="n">
        <v>45296</v>
      </c>
      <c r="B148" s="9" t="n">
        <v>0.2930670692691241</v>
      </c>
    </row>
    <row r="149">
      <c r="A149" s="16" t="n">
        <v>45303</v>
      </c>
      <c r="B149" s="9" t="n">
        <v>0.2848823462848183</v>
      </c>
    </row>
    <row r="150">
      <c r="A150" s="16" t="n">
        <v>45310</v>
      </c>
      <c r="B150" s="9" t="n">
        <v>0.2983416426684007</v>
      </c>
    </row>
    <row r="151">
      <c r="A151" s="16" t="n">
        <v>45317</v>
      </c>
      <c r="B151" s="9" t="n">
        <v>0.2916270606426615</v>
      </c>
    </row>
    <row r="152">
      <c r="A152" s="16" t="n">
        <v>45324</v>
      </c>
      <c r="B152" s="9" t="n">
        <v>0.2809745356988694</v>
      </c>
    </row>
    <row r="153">
      <c r="A153" s="16" t="n">
        <v>45331</v>
      </c>
      <c r="B153" s="9" t="n">
        <v>0.2801270323886181</v>
      </c>
    </row>
    <row r="154">
      <c r="A154" s="16" t="n">
        <v>45338</v>
      </c>
      <c r="B154" s="9" t="n">
        <v>0.2749140592931757</v>
      </c>
    </row>
    <row r="155">
      <c r="A155" s="16" t="n">
        <v>45345</v>
      </c>
      <c r="B155" s="9" t="n">
        <v>0.2784068129289199</v>
      </c>
    </row>
    <row r="156">
      <c r="A156" s="16" t="n">
        <v>45352</v>
      </c>
      <c r="B156" s="9" t="n">
        <v>0.2804507348012307</v>
      </c>
    </row>
    <row r="157">
      <c r="A157" s="16" t="n">
        <v>45359</v>
      </c>
      <c r="B157" s="9" t="n">
        <v>0.2814696542385599</v>
      </c>
    </row>
    <row r="158">
      <c r="A158" s="16" t="n">
        <v>45366</v>
      </c>
      <c r="B158" s="9" t="n">
        <v>0.2763334893065242</v>
      </c>
    </row>
    <row r="159">
      <c r="A159" s="16" t="n">
        <v>45373</v>
      </c>
      <c r="B159" s="9" t="n">
        <v>0.2899606392378221</v>
      </c>
    </row>
    <row r="160">
      <c r="A160" s="16" t="n">
        <v>45380</v>
      </c>
      <c r="B160" s="9" t="n">
        <v>0.3039854264018749</v>
      </c>
    </row>
    <row r="161">
      <c r="A161" s="16" t="n">
        <v>45387</v>
      </c>
      <c r="B161" s="9" t="n">
        <v>0.3133919337642235</v>
      </c>
    </row>
    <row r="162">
      <c r="A162" s="16" t="n">
        <v>45394</v>
      </c>
      <c r="B162" s="9" t="n">
        <v>0.3165368771306664</v>
      </c>
    </row>
    <row r="163">
      <c r="A163" s="16" t="n">
        <v>45401</v>
      </c>
      <c r="B163" s="9" t="n">
        <v>0.3042015889987336</v>
      </c>
    </row>
    <row r="164">
      <c r="A164" s="16" t="n">
        <v>45408</v>
      </c>
      <c r="B164" s="9" t="n">
        <v>0.2957909109756395</v>
      </c>
    </row>
    <row r="165">
      <c r="A165" s="16" t="n">
        <v>45415</v>
      </c>
      <c r="B165" s="9" t="n">
        <v>0.2946109849475473</v>
      </c>
    </row>
    <row r="166">
      <c r="A166" s="16" t="n">
        <v>45422</v>
      </c>
      <c r="B166" s="9" t="n">
        <v>0.295109196690357</v>
      </c>
    </row>
    <row r="167">
      <c r="A167" s="16" t="n">
        <v>45429</v>
      </c>
      <c r="B167" s="9" t="n">
        <v>0.2937454718391933</v>
      </c>
    </row>
    <row r="168">
      <c r="A168" s="16" t="n">
        <v>45436</v>
      </c>
      <c r="B168" s="9" t="n">
        <v>0.2957493647733222</v>
      </c>
    </row>
    <row r="169">
      <c r="A169" s="16" t="n">
        <v>45443</v>
      </c>
      <c r="B169" s="9" t="n">
        <v>0.2910888186456583</v>
      </c>
    </row>
    <row r="170">
      <c r="A170" s="16" t="n">
        <v>45450</v>
      </c>
      <c r="B170" s="9" t="n">
        <v>0.2990431053376555</v>
      </c>
    </row>
    <row r="171">
      <c r="A171" s="16" t="n">
        <v>45457</v>
      </c>
      <c r="B171" s="9" t="n">
        <v>0.3061439974931413</v>
      </c>
    </row>
    <row r="172">
      <c r="A172" s="16" t="n">
        <v>45464</v>
      </c>
      <c r="B172" s="9" t="n">
        <v>0.308444950071437</v>
      </c>
    </row>
    <row r="173">
      <c r="A173" s="16" t="n">
        <v>45471</v>
      </c>
      <c r="B173" s="9" t="n">
        <v>0.3113310351948765</v>
      </c>
    </row>
    <row r="174">
      <c r="A174" s="16" t="n">
        <v>45478</v>
      </c>
      <c r="B174" s="9" t="n">
        <v>0.3197741807311011</v>
      </c>
    </row>
    <row r="175">
      <c r="A175" s="16" t="n">
        <v>45485</v>
      </c>
      <c r="B175" s="9" t="n">
        <v>0.3127834835683355</v>
      </c>
    </row>
    <row r="176">
      <c r="A176" s="16" t="n">
        <v>45492</v>
      </c>
      <c r="B176" s="9" t="n">
        <v>0.3116787560391623</v>
      </c>
    </row>
    <row r="177">
      <c r="A177" s="16" t="n">
        <v>45499</v>
      </c>
      <c r="B177" s="9" t="n">
        <v>0.3027593491432436</v>
      </c>
    </row>
    <row r="178">
      <c r="A178" s="16" t="n">
        <v>45506</v>
      </c>
      <c r="B178" s="9" t="n">
        <v>0.2978869878067123</v>
      </c>
    </row>
    <row r="179">
      <c r="A179" s="16" t="n">
        <v>45513</v>
      </c>
      <c r="B179" s="9" t="n">
        <v>0.2925949891188116</v>
      </c>
    </row>
    <row r="180">
      <c r="A180" s="16" t="n">
        <v>45520</v>
      </c>
      <c r="B180" s="9" t="n">
        <v>0.3066708048150018</v>
      </c>
    </row>
    <row r="181">
      <c r="A181" s="16" t="n">
        <v>45527</v>
      </c>
      <c r="B181" s="9" t="n">
        <v>0.2941594699939995</v>
      </c>
    </row>
    <row r="182">
      <c r="A182" s="16" t="n">
        <v>45534</v>
      </c>
      <c r="B182" s="9" t="n">
        <v>0.2831510332031216</v>
      </c>
    </row>
    <row r="183">
      <c r="A183" s="16" t="n">
        <v>45541</v>
      </c>
      <c r="B183" s="9" t="n">
        <v>0.2747964956725446</v>
      </c>
    </row>
    <row r="184">
      <c r="A184" s="16" t="n">
        <v>45548</v>
      </c>
      <c r="B184" s="9" t="n">
        <v>0.2599163425831694</v>
      </c>
    </row>
    <row r="185">
      <c r="A185" s="16" t="n">
        <v>45555</v>
      </c>
      <c r="B185" s="9" t="n">
        <v>0.2522917159880795</v>
      </c>
    </row>
    <row r="186">
      <c r="A186" s="16" t="n">
        <v>45562</v>
      </c>
      <c r="B186" s="9" t="n">
        <v>0.2592726834428352</v>
      </c>
    </row>
    <row r="187">
      <c r="A187" s="16" t="n">
        <v>45569</v>
      </c>
      <c r="B187" s="9" t="n">
        <v>0.2528961890276303</v>
      </c>
    </row>
    <row r="188">
      <c r="A188" s="16" t="n">
        <v>45576</v>
      </c>
      <c r="B188" s="9" t="n">
        <v>0.249989725272929</v>
      </c>
    </row>
    <row r="189">
      <c r="A189" s="16" t="n">
        <v>45583</v>
      </c>
      <c r="B189" s="9" t="n">
        <v>0.251027129410259</v>
      </c>
    </row>
    <row r="190">
      <c r="A190" s="16" t="n">
        <v>45590</v>
      </c>
      <c r="B190" s="9" t="n">
        <v>0.2465982014927698</v>
      </c>
    </row>
    <row r="191">
      <c r="A191" s="16" t="n">
        <v>45597</v>
      </c>
      <c r="B191" s="9" t="n">
        <v>0.250969564579121</v>
      </c>
    </row>
    <row r="192">
      <c r="A192" s="16" t="n">
        <v>45604</v>
      </c>
      <c r="B192" s="9" t="n">
        <v>0.2515690943102157</v>
      </c>
    </row>
    <row r="193">
      <c r="A193" s="16" t="n">
        <v>45611</v>
      </c>
      <c r="B193" s="9" t="n">
        <v>0.2467091737862221</v>
      </c>
    </row>
    <row r="194">
      <c r="A194" s="16" t="n">
        <v>45618</v>
      </c>
      <c r="B194" s="9" t="n">
        <v>0.2452665465263558</v>
      </c>
    </row>
    <row r="195">
      <c r="A195" s="16" t="n">
        <v>45625</v>
      </c>
      <c r="B195" s="9" t="n">
        <v>0.2376365059362785</v>
      </c>
    </row>
    <row r="196">
      <c r="A196" s="16" t="n">
        <v>45632</v>
      </c>
      <c r="B196" s="9" t="n">
        <v>0.2424205917124459</v>
      </c>
    </row>
    <row r="197">
      <c r="A197" s="16" t="n">
        <v>45639</v>
      </c>
      <c r="B197" s="9" t="n">
        <v>0.2453414815335646</v>
      </c>
    </row>
    <row r="198">
      <c r="A198" s="16" t="n">
        <v>45646</v>
      </c>
      <c r="B198" s="9" t="n">
        <v>0.241218358457395</v>
      </c>
    </row>
    <row r="199">
      <c r="A199" s="16" t="n">
        <v>45653</v>
      </c>
      <c r="B199" s="9" t="n">
        <v>0.2463089562331754</v>
      </c>
    </row>
    <row r="200">
      <c r="A200" s="16" t="n">
        <v>45660</v>
      </c>
      <c r="B200" s="9" t="n">
        <v>0.2473776740352461</v>
      </c>
    </row>
    <row r="201">
      <c r="A201" s="16" t="n">
        <v>45667</v>
      </c>
      <c r="B201" s="9" t="n">
        <v>0.2506943373118147</v>
      </c>
    </row>
    <row r="202">
      <c r="A202" s="16" t="n">
        <v>45674</v>
      </c>
      <c r="B202" s="9" t="n">
        <v>0.2486603857653626</v>
      </c>
    </row>
    <row r="203">
      <c r="A203" s="16" t="n">
        <v>45681</v>
      </c>
      <c r="B203" s="9" t="n">
        <v>0.249675939553489</v>
      </c>
    </row>
    <row r="204">
      <c r="A204" s="16" t="n">
        <v>45688</v>
      </c>
      <c r="B204" s="9" t="n">
        <v>0.2397603740982765</v>
      </c>
    </row>
    <row r="205">
      <c r="A205" s="16" t="n">
        <v>45695</v>
      </c>
      <c r="B205" s="9" t="n">
        <v>0.244267645158966</v>
      </c>
    </row>
    <row r="206">
      <c r="A206" s="16" t="n">
        <v>45702</v>
      </c>
      <c r="B206" s="9" t="n">
        <v>0.2472571196028829</v>
      </c>
    </row>
    <row r="207">
      <c r="A207" s="16" t="n">
        <v>45709</v>
      </c>
      <c r="B207" s="9" t="n">
        <v>0.2482701096868251</v>
      </c>
    </row>
    <row r="208">
      <c r="A208" s="16" t="n">
        <v>45716</v>
      </c>
      <c r="B208" s="9" t="n">
        <v>0.2413263492142023</v>
      </c>
    </row>
    <row r="209">
      <c r="A209" s="16" t="n">
        <v>45723</v>
      </c>
      <c r="B209" s="9" t="n">
        <v>0.2362139900342033</v>
      </c>
    </row>
    <row r="210">
      <c r="A210" s="16" t="n">
        <v>45730</v>
      </c>
      <c r="B210" s="9" t="n">
        <v>0.2427322282686069</v>
      </c>
    </row>
    <row r="211">
      <c r="A211" s="16" t="n">
        <v>45737</v>
      </c>
      <c r="B211" s="9" t="n">
        <v>0.2601263372285636</v>
      </c>
    </row>
    <row r="212">
      <c r="A212" s="16" t="n">
        <v>45744</v>
      </c>
      <c r="B212" s="9" t="n">
        <v>0.2584220096271749</v>
      </c>
    </row>
    <row r="213">
      <c r="A213" s="16" t="n">
        <v>45751</v>
      </c>
      <c r="B213" s="9" t="n">
        <v>0.2488625128231745</v>
      </c>
    </row>
    <row r="214">
      <c r="A214" s="16" t="n">
        <v>45758</v>
      </c>
      <c r="B214" s="9" t="n">
        <v>0.2489142389351826</v>
      </c>
    </row>
    <row r="215">
      <c r="A215" s="16" t="n">
        <v>45765</v>
      </c>
      <c r="B215" s="9" t="n">
        <v>0.241915799928453</v>
      </c>
    </row>
    <row r="216">
      <c r="A216" s="16" t="n">
        <v>45772</v>
      </c>
      <c r="B216" s="9" t="n">
        <v>0.2405433149605825</v>
      </c>
    </row>
    <row r="217">
      <c r="A217" s="16" t="n">
        <v>45779</v>
      </c>
      <c r="B217" s="9" t="n">
        <v>0.2356155961357069</v>
      </c>
    </row>
    <row r="218">
      <c r="A218" s="16" t="n">
        <v>45786</v>
      </c>
      <c r="B218" s="9" t="n">
        <v>0.2370001413274938</v>
      </c>
    </row>
    <row r="219">
      <c r="A219" s="16" t="n">
        <v>45793</v>
      </c>
      <c r="B219" s="9" t="n">
        <v>0.2428561608489644</v>
      </c>
    </row>
    <row r="220">
      <c r="A220" s="16" t="n">
        <v>45800</v>
      </c>
      <c r="B220" s="9" t="n">
        <v>0.2368225797110393</v>
      </c>
    </row>
    <row r="221">
      <c r="A221" s="16" t="n">
        <v>45807</v>
      </c>
      <c r="B221" s="9" t="n">
        <v>0.2348528538857558</v>
      </c>
    </row>
    <row r="222">
      <c r="A222" s="16" t="n">
        <v>45814</v>
      </c>
      <c r="B222" s="9" t="n">
        <v>0.2400676564456919</v>
      </c>
    </row>
    <row r="223">
      <c r="A223" s="16" t="n">
        <v>45821</v>
      </c>
      <c r="B223" s="9" t="n">
        <v>0.234378434764408</v>
      </c>
    </row>
    <row r="224">
      <c r="A224" s="16" t="n">
        <v>45828</v>
      </c>
      <c r="B224" s="9" t="n">
        <v>0.2342623413614442</v>
      </c>
    </row>
    <row r="225">
      <c r="A225" s="16" t="n">
        <v>45835</v>
      </c>
      <c r="B225" s="9" t="n">
        <v>0.2431174409609245</v>
      </c>
    </row>
    <row r="226">
      <c r="A226" s="16" t="n">
        <v>45842</v>
      </c>
      <c r="B226" s="9" t="n">
        <v>0.2457485092199653</v>
      </c>
    </row>
    <row r="227">
      <c r="A227" s="16" t="n">
        <v>45849</v>
      </c>
      <c r="B227" s="9" t="n">
        <v>0.2414636514167348</v>
      </c>
    </row>
    <row r="228">
      <c r="A228" s="16" t="n">
        <v>45856</v>
      </c>
      <c r="B228" s="9" t="n">
        <v>0.244381335423037</v>
      </c>
    </row>
    <row r="229">
      <c r="A229" s="16" t="n">
        <v>45863</v>
      </c>
      <c r="B229" s="9" t="n">
        <v>0.2396062615640378</v>
      </c>
    </row>
    <row r="230">
      <c r="A230" s="16" t="n">
        <v>45870</v>
      </c>
      <c r="B230" s="9" t="n">
        <v>0.2501585452606077</v>
      </c>
    </row>
    <row r="231">
      <c r="A231" s="16" t="n">
        <v>45877</v>
      </c>
      <c r="B231" s="9" t="n">
        <v>0.2497506342205192</v>
      </c>
    </row>
    <row r="232">
      <c r="A232" s="16" t="n">
        <v>45884</v>
      </c>
      <c r="B232" s="9" t="n">
        <v>0.2535709939944062</v>
      </c>
    </row>
    <row r="233">
      <c r="A233" s="16" t="n">
        <v>45891</v>
      </c>
      <c r="B233" s="9" t="n">
        <v>0.2505109661825944</v>
      </c>
    </row>
    <row r="234">
      <c r="A234" s="16" t="n">
        <v>45898</v>
      </c>
      <c r="B234" s="9" t="n">
        <v>0.2499476085408839</v>
      </c>
    </row>
    <row r="235">
      <c r="A235" s="16" t="n">
        <v>45905</v>
      </c>
      <c r="B235" s="9" t="n">
        <v>0.2492055951776206</v>
      </c>
    </row>
    <row r="236">
      <c r="A236" s="16" t="n">
        <v>45912</v>
      </c>
      <c r="B236" s="9" t="n">
        <v>0.2632766740010041</v>
      </c>
    </row>
    <row r="237">
      <c r="A237" s="16" t="n">
        <v>45919</v>
      </c>
      <c r="B237" s="9" t="n">
        <v>0.2755929782172065</v>
      </c>
    </row>
    <row r="238">
      <c r="A238" s="16" t="n">
        <v>45926</v>
      </c>
      <c r="B238" s="9" t="n">
        <v>0.2838652229888275</v>
      </c>
    </row>
    <row r="239">
      <c r="A239" s="16" t="n">
        <v>45933</v>
      </c>
      <c r="B239" s="9" t="n">
        <v>0.2983652934620697</v>
      </c>
    </row>
    <row r="240">
      <c r="A240" s="16" t="n">
        <v>45940</v>
      </c>
      <c r="B240" s="9" t="n">
        <v>0.3130144591254701</v>
      </c>
    </row>
    <row r="241">
      <c r="A241" s="16" t="n">
        <v>45947</v>
      </c>
      <c r="B241" s="9" t="n">
        <v>0.3173465640852999</v>
      </c>
    </row>
    <row r="242">
      <c r="A242" s="16" t="n">
        <v>45954</v>
      </c>
      <c r="B242" s="9" t="n">
        <v>0.3144340837750126</v>
      </c>
    </row>
    <row r="243">
      <c r="A243" s="16" t="n">
        <v>45961</v>
      </c>
      <c r="B243" s="9" t="n">
        <v>0.3287128105937938</v>
      </c>
    </row>
    <row r="244">
      <c r="A244" s="16" t="n">
        <v>45968</v>
      </c>
      <c r="B244" s="9" t="n">
        <v>0.3269416572019829</v>
      </c>
    </row>
    <row r="245">
      <c r="A245" s="16" t="n">
        <v>45975</v>
      </c>
      <c r="B245" s="9" t="n">
        <v>0.316500379976379</v>
      </c>
    </row>
    <row r="246">
      <c r="A246" s="16" t="n">
        <v>45982</v>
      </c>
      <c r="B246" s="9" t="n">
        <v>0.3154288381197764</v>
      </c>
    </row>
    <row r="247">
      <c r="A247" s="16" t="n">
        <v>45989</v>
      </c>
      <c r="B247" s="9" t="n">
        <v>0.3220148059252432</v>
      </c>
    </row>
    <row r="248">
      <c r="A248" s="16" t="n">
        <v>45996</v>
      </c>
      <c r="B248" s="9" t="n">
        <v>0.3262916735492892</v>
      </c>
    </row>
    <row r="249">
      <c r="A249" s="16" t="n">
        <v>46003</v>
      </c>
      <c r="B249" s="9" t="n">
        <v>0.3282674791700581</v>
      </c>
    </row>
    <row r="250">
      <c r="A250" s="16" t="n">
        <v>46010</v>
      </c>
      <c r="B250" s="9" t="n">
        <v>0.3300731988940225</v>
      </c>
    </row>
    <row r="251">
      <c r="A251" s="16" t="n">
        <v>46017</v>
      </c>
      <c r="B251" s="9" t="n">
        <v>0.3522118669639722</v>
      </c>
    </row>
    <row r="252">
      <c r="A252" s="16" t="n">
        <v>46024</v>
      </c>
      <c r="B252" s="9" t="n">
        <v>0.3738852494990405</v>
      </c>
    </row>
    <row r="253">
      <c r="A253" s="16" t="n">
        <v>46031</v>
      </c>
      <c r="B253" s="9" t="n">
        <v>0.3821691278829439</v>
      </c>
    </row>
    <row r="254">
      <c r="A254" s="16" t="n">
        <v>46038</v>
      </c>
      <c r="B254" s="9" t="n">
        <v>0.3801712768188678</v>
      </c>
    </row>
    <row r="255">
      <c r="A255" s="16" t="n">
        <v>46045</v>
      </c>
      <c r="B255" s="9" t="n">
        <v>0.3756034486703366</v>
      </c>
    </row>
    <row r="256">
      <c r="A256" s="16" t="n">
        <v>46052</v>
      </c>
      <c r="B256" s="9" t="n">
        <v>0.3954135191097397</v>
      </c>
    </row>
    <row r="257">
      <c r="A257" s="16" t="n">
        <v>46059</v>
      </c>
      <c r="B257" s="9" t="n">
        <v>0.3904776520281978</v>
      </c>
    </row>
    <row r="258">
      <c r="A258" s="16" t="n">
        <v>46066</v>
      </c>
      <c r="B258" s="9" t="n">
        <v>0.3991184812838156</v>
      </c>
    </row>
    <row r="259">
      <c r="A259" s="16" t="n">
        <v>46073</v>
      </c>
      <c r="B259" s="9" t="n">
        <v>0.401039855684041</v>
      </c>
    </row>
    <row r="260">
      <c r="A260" s="16" t="n">
        <v>46080</v>
      </c>
      <c r="B260" s="9" t="n">
        <v>0.4187640365208555</v>
      </c>
    </row>
    <row r="261">
      <c r="A261" s="16" t="n">
        <v>46087</v>
      </c>
      <c r="B261" s="9" t="n">
        <v>0.4076078697153351</v>
      </c>
    </row>
    <row r="262">
      <c r="A262" s="16" t="n">
        <v>46094</v>
      </c>
      <c r="B262" s="9" t="n">
        <v>0.4070501455935608</v>
      </c>
    </row>
    <row r="263">
      <c r="A263" s="16" t="n">
        <v>46101</v>
      </c>
      <c r="B263" s="9" t="n">
        <v>0.4218898812516102</v>
      </c>
    </row>
    <row r="264">
      <c r="A264" s="16" t="n">
        <v>46108</v>
      </c>
      <c r="B264" s="9" t="n">
        <v>0.4068607161744459</v>
      </c>
    </row>
    <row r="265">
      <c r="A265" s="16" t="n">
        <v>46115</v>
      </c>
      <c r="B265" s="9" t="n">
        <v>0.4128662145061796</v>
      </c>
    </row>
    <row r="266">
      <c r="A266" s="16" t="n">
        <v>46122</v>
      </c>
      <c r="B266" s="9" t="n">
        <v>0.4281106735115286</v>
      </c>
    </row>
    <row r="267">
      <c r="A267" s="16" t="n">
        <v>46129</v>
      </c>
      <c r="B267" s="9" t="n">
        <v>0.4302972662337874</v>
      </c>
    </row>
    <row r="268">
      <c r="A268" s="16" t="n">
        <v>46136</v>
      </c>
      <c r="B268" s="9" t="n">
        <v>0.4292855591252238</v>
      </c>
    </row>
    <row r="269">
      <c r="A269" s="16" t="n">
        <v>46143</v>
      </c>
      <c r="B269" s="9" t="n">
        <v>0.4313765908895476</v>
      </c>
    </row>
    <row r="270">
      <c r="A270" s="16" t="n">
        <v>46150</v>
      </c>
      <c r="B270" s="9" t="n">
        <v>0.4749823675355574</v>
      </c>
    </row>
    <row r="271">
      <c r="A271" s="16" t="n">
        <v>46157</v>
      </c>
      <c r="B271" s="9" t="n">
        <v>0.4925687610567942</v>
      </c>
    </row>
    <row r="272">
      <c r="A272" s="16" t="n">
        <v>46164</v>
      </c>
      <c r="B272" s="9" t="n">
        <v>0.5051549703161717</v>
      </c>
    </row>
    <row r="273">
      <c r="A273" s="16" t="n">
        <v>46171</v>
      </c>
      <c r="B273" s="9" t="n">
        <v>0.5305652804902717</v>
      </c>
    </row>
    <row r="274">
      <c r="A274" s="16" t="n">
        <v>46178</v>
      </c>
      <c r="B274" s="9" t="n">
        <v>0.5336905728087796</v>
      </c>
    </row>
    <row r="275">
      <c r="A275" s="16" t="n">
        <v>46185</v>
      </c>
      <c r="B275" s="9" t="n">
        <v>0.5389802519526316</v>
      </c>
    </row>
    <row r="276">
      <c r="A276" s="16" t="n">
        <v>46192</v>
      </c>
      <c r="B276" s="9" t="n">
        <v>0.5700351137031727</v>
      </c>
    </row>
    <row r="277">
      <c r="A277" s="16" t="n">
        <v>46199</v>
      </c>
      <c r="B277" s="9" t="n">
        <v>0.59064082872739</v>
      </c>
    </row>
    <row r="278">
      <c r="A278" s="16" t="n">
        <v>46206</v>
      </c>
      <c r="B278" s="9" t="n">
        <v>0.559863001489753</v>
      </c>
    </row>
    <row r="279">
      <c r="A279" s="16" t="n">
        <v>46213</v>
      </c>
      <c r="B279" s="9" t="n">
        <v>0.5517240730622586</v>
      </c>
    </row>
    <row r="280">
      <c r="A280" s="16" t="n">
        <v>46220</v>
      </c>
      <c r="B280" s="9" t="n">
        <v>0.5274610029875821</v>
      </c>
    </row>
    <row r="281">
      <c r="A281" s="16" t="n">
        <v>46227</v>
      </c>
      <c r="B281" s="9" t="n">
        <v>0.5209197387734092</v>
      </c>
    </row>
    <row r="282">
      <c r="A282" s="16" t="n">
        <v>46234</v>
      </c>
      <c r="B282" s="9" t="n">
        <v>0.5404558776647419</v>
      </c>
    </row>
    <row r="283">
      <c r="A283" s="16" t="n">
        <v>46241</v>
      </c>
      <c r="B283" s="9" t="n">
        <v>0.4894834347558877</v>
      </c>
    </row>
    <row r="284">
      <c r="A284" s="16" t="n">
        <v>46248</v>
      </c>
      <c r="B284" s="9" t="n">
        <v>0.5146838992367364</v>
      </c>
    </row>
    <row r="285">
      <c r="A285" s="16" t="n">
        <v>46255</v>
      </c>
      <c r="B285" s="9" t="n">
        <v>0.5383478257897832</v>
      </c>
    </row>
    <row r="286">
      <c r="A286" s="16" t="n">
        <v>46262</v>
      </c>
      <c r="B286" s="9" t="n">
        <v>0.5110012733015513</v>
      </c>
    </row>
    <row r="287">
      <c r="A287" s="16" t="n">
        <v>46269</v>
      </c>
      <c r="B287" s="9" t="n">
        <v>0.5166228124157783</v>
      </c>
    </row>
    <row r="288">
      <c r="A288" s="16" t="n">
        <v>46276</v>
      </c>
      <c r="B288" s="9" t="n">
        <v>0.5259665793925195</v>
      </c>
    </row>
    <row r="289">
      <c r="A289" s="16" t="n">
        <v>46283</v>
      </c>
      <c r="B289" s="9" t="n">
        <v>0.5328136424176046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4" customWidth="1" min="7" max="7"/>
    <col width="26" customWidth="1" min="8" max="8"/>
    <col width="28" customWidth="1" min="9" max="9"/>
    <col width="22" customWidth="1" min="10" max="10"/>
    <col width="22" customWidth="1" min="11" max="11"/>
    <col width="22" customWidth="1" min="12" max="12"/>
    <col width="22" customWidth="1" min="13" max="13"/>
    <col width="24" customWidth="1" min="14" max="14"/>
    <col width="26" customWidth="1" min="15" max="15"/>
    <col width="28" customWidth="1" min="16" max="16"/>
  </cols>
  <sheetData>
    <row r="1">
      <c r="A1" s="7" t="inlineStr">
        <is>
          <t>code</t>
        </is>
      </c>
      <c r="B1" s="7" t="inlineStr">
        <is>
          <t>name</t>
        </is>
      </c>
      <c r="C1" s="7" t="inlineStr">
        <is>
          <t>fdr_days_a</t>
        </is>
      </c>
      <c r="D1" s="7" t="inlineStr">
        <is>
          <t>fdr_days_b</t>
        </is>
      </c>
      <c r="E1" s="7" t="inlineStr">
        <is>
          <t>fdr_only_a</t>
        </is>
      </c>
      <c r="F1" s="7" t="inlineStr">
        <is>
          <t>fdr_only_b</t>
        </is>
      </c>
      <c r="G1" s="7" t="inlineStr">
        <is>
          <t>fdr_max_gap</t>
        </is>
      </c>
      <c r="H1" s="7" t="inlineStr">
        <is>
          <t>fdr_bad_days</t>
        </is>
      </c>
      <c r="I1" s="7" t="inlineStr">
        <is>
          <t>fdr_first_bad</t>
        </is>
      </c>
      <c r="J1" s="7" t="inlineStr">
        <is>
          <t>gov_days_a</t>
        </is>
      </c>
      <c r="K1" s="7" t="inlineStr">
        <is>
          <t>gov_days_b</t>
        </is>
      </c>
      <c r="L1" s="7" t="inlineStr">
        <is>
          <t>gov_only_a</t>
        </is>
      </c>
      <c r="M1" s="7" t="inlineStr">
        <is>
          <t>gov_only_b</t>
        </is>
      </c>
      <c r="N1" s="7" t="inlineStr">
        <is>
          <t>gov_max_gap</t>
        </is>
      </c>
      <c r="O1" s="7" t="inlineStr">
        <is>
          <t>gov_bad_days</t>
        </is>
      </c>
      <c r="P1" s="7" t="inlineStr">
        <is>
          <t>gov_first_bad</t>
        </is>
      </c>
    </row>
    <row r="2">
      <c r="A2" t="inlineStr">
        <is>
          <t>192820</t>
        </is>
      </c>
      <c r="B2" t="inlineStr">
        <is>
          <t>코스맥스</t>
        </is>
      </c>
      <c r="C2" t="n">
        <v>1351</v>
      </c>
      <c r="D2" t="n">
        <v>1351</v>
      </c>
      <c r="E2" t="n">
        <v>0</v>
      </c>
      <c r="F2" t="n">
        <v>0</v>
      </c>
      <c r="G2" s="17" t="n">
        <v>0</v>
      </c>
      <c r="H2" t="n">
        <v>0</v>
      </c>
      <c r="I2" t="inlineStr"/>
      <c r="J2" t="n">
        <v>1351</v>
      </c>
      <c r="K2" t="n">
        <v>1351</v>
      </c>
      <c r="L2" t="n">
        <v>0</v>
      </c>
      <c r="M2" t="n">
        <v>0</v>
      </c>
      <c r="N2" s="17" t="n">
        <v>0.01976681614349773</v>
      </c>
      <c r="O2" t="n">
        <v>40</v>
      </c>
      <c r="P2" t="inlineStr">
        <is>
          <t>2021-03-18</t>
        </is>
      </c>
    </row>
    <row r="3">
      <c r="A3" t="inlineStr">
        <is>
          <t>161890</t>
        </is>
      </c>
      <c r="B3" t="inlineStr">
        <is>
          <t>한국콜마</t>
        </is>
      </c>
      <c r="C3" t="n">
        <v>1351</v>
      </c>
      <c r="D3" t="n">
        <v>1351</v>
      </c>
      <c r="E3" t="n">
        <v>0</v>
      </c>
      <c r="F3" t="n">
        <v>0</v>
      </c>
      <c r="G3" s="17" t="n">
        <v>0</v>
      </c>
      <c r="H3" t="n">
        <v>0</v>
      </c>
      <c r="I3" t="inlineStr"/>
      <c r="J3" t="n">
        <v>1351</v>
      </c>
      <c r="K3" t="n">
        <v>1351</v>
      </c>
      <c r="L3" t="n">
        <v>0</v>
      </c>
      <c r="M3" t="n">
        <v>0</v>
      </c>
      <c r="N3" s="17" t="n">
        <v>0.004070556309362372</v>
      </c>
      <c r="O3" t="n">
        <v>0</v>
      </c>
      <c r="P3" t="inlineStr"/>
    </row>
    <row r="4">
      <c r="A4" t="inlineStr">
        <is>
          <t>241710</t>
        </is>
      </c>
      <c r="B4" t="inlineStr">
        <is>
          <t>코스메카코리아</t>
        </is>
      </c>
      <c r="C4" t="n">
        <v>1351</v>
      </c>
      <c r="D4" t="n">
        <v>1351</v>
      </c>
      <c r="E4" t="n">
        <v>0</v>
      </c>
      <c r="F4" t="n">
        <v>0</v>
      </c>
      <c r="G4" s="17" t="n">
        <v>0</v>
      </c>
      <c r="H4" t="n">
        <v>0</v>
      </c>
      <c r="I4" t="inlineStr"/>
      <c r="J4" t="n">
        <v>1351</v>
      </c>
      <c r="K4" t="n">
        <v>1351</v>
      </c>
      <c r="L4" t="n">
        <v>0</v>
      </c>
      <c r="M4" t="n">
        <v>0</v>
      </c>
      <c r="N4" s="17" t="n">
        <v>0.01376146788990829</v>
      </c>
      <c r="O4" t="n">
        <v>3</v>
      </c>
      <c r="P4" t="inlineStr">
        <is>
          <t>2026-09-14</t>
        </is>
      </c>
    </row>
    <row r="5">
      <c r="A5" t="inlineStr">
        <is>
          <t>352480</t>
        </is>
      </c>
      <c r="B5" t="inlineStr">
        <is>
          <t>씨앤씨인터내셔널</t>
        </is>
      </c>
      <c r="C5" t="n">
        <v>1310</v>
      </c>
      <c r="D5" t="n">
        <v>1310</v>
      </c>
      <c r="E5" t="n">
        <v>0</v>
      </c>
      <c r="F5" t="n">
        <v>0</v>
      </c>
      <c r="G5" s="17" t="n">
        <v>0</v>
      </c>
      <c r="H5" t="n">
        <v>0</v>
      </c>
      <c r="I5" t="inlineStr"/>
      <c r="J5" t="n">
        <v>1310</v>
      </c>
      <c r="K5" t="n">
        <v>1310</v>
      </c>
      <c r="L5" t="n">
        <v>0</v>
      </c>
      <c r="M5" t="n">
        <v>0</v>
      </c>
      <c r="N5" s="17" t="n">
        <v>0.3325847953216374</v>
      </c>
      <c r="O5" t="n">
        <v>79</v>
      </c>
      <c r="P5" t="inlineStr">
        <is>
          <t>2021-05-17</t>
        </is>
      </c>
    </row>
    <row r="6">
      <c r="A6" t="inlineStr">
        <is>
          <t>950140</t>
        </is>
      </c>
      <c r="B6" t="inlineStr">
        <is>
          <t>잉글우드랩</t>
        </is>
      </c>
      <c r="C6" t="n">
        <v>1351</v>
      </c>
      <c r="D6" t="n">
        <v>1351</v>
      </c>
      <c r="E6" t="n">
        <v>0</v>
      </c>
      <c r="F6" t="n">
        <v>0</v>
      </c>
      <c r="G6" s="17" t="n">
        <v>0</v>
      </c>
      <c r="H6" t="n">
        <v>0</v>
      </c>
      <c r="I6" t="inlineStr"/>
      <c r="J6" t="n">
        <v>1351</v>
      </c>
      <c r="K6" t="n">
        <v>1351</v>
      </c>
      <c r="L6" t="n">
        <v>0</v>
      </c>
      <c r="M6" t="n">
        <v>0</v>
      </c>
      <c r="N6" s="17" t="n">
        <v>0.01201923076923073</v>
      </c>
      <c r="O6" t="n">
        <v>1</v>
      </c>
      <c r="P6" t="inlineStr">
        <is>
          <t>2026-09-18</t>
        </is>
      </c>
    </row>
    <row r="7">
      <c r="A7" t="inlineStr">
        <is>
          <t>003350</t>
        </is>
      </c>
      <c r="B7" t="inlineStr">
        <is>
          <t>한국화장품제조</t>
        </is>
      </c>
      <c r="C7" t="n">
        <v>1351</v>
      </c>
      <c r="D7" t="n">
        <v>1351</v>
      </c>
      <c r="E7" t="n">
        <v>0</v>
      </c>
      <c r="F7" t="n">
        <v>0</v>
      </c>
      <c r="G7" s="17" t="n">
        <v>0</v>
      </c>
      <c r="H7" t="n">
        <v>0</v>
      </c>
      <c r="I7" t="inlineStr"/>
      <c r="J7" t="n">
        <v>1351</v>
      </c>
      <c r="K7" t="n">
        <v>1351</v>
      </c>
      <c r="L7" t="n">
        <v>0</v>
      </c>
      <c r="M7" t="n">
        <v>0</v>
      </c>
      <c r="N7" s="17" t="n">
        <v>0.8</v>
      </c>
      <c r="O7" t="n">
        <v>1251</v>
      </c>
      <c r="P7" t="inlineStr">
        <is>
          <t>2021-03-18</t>
        </is>
      </c>
    </row>
    <row r="8">
      <c r="A8" t="inlineStr">
        <is>
          <t>KOSPI</t>
        </is>
      </c>
      <c r="B8" t="inlineStr">
        <is>
          <t>KOSPI 지수 (공식 vs FDR)</t>
        </is>
      </c>
      <c r="C8" t="n">
        <v/>
      </c>
      <c r="D8" t="n">
        <v/>
      </c>
      <c r="E8" t="n">
        <v/>
      </c>
      <c r="F8" t="n">
        <v/>
      </c>
      <c r="G8" s="17" t="n">
        <v/>
      </c>
      <c r="H8" t="n">
        <v/>
      </c>
      <c r="I8" t="n">
        <v/>
      </c>
      <c r="J8" t="n">
        <v>1351</v>
      </c>
      <c r="K8" t="n">
        <v>1350</v>
      </c>
      <c r="L8" t="n">
        <v>1</v>
      </c>
      <c r="M8" t="n">
        <v>0</v>
      </c>
      <c r="N8" s="17" t="n">
        <v>0.001328011373606941</v>
      </c>
      <c r="O8" t="n">
        <v>1</v>
      </c>
      <c r="P8" t="inlineStr">
        <is>
          <t>2026-09-17</t>
        </is>
      </c>
    </row>
    <row r="9">
      <c r="A9" t="inlineStr">
        <is>
          <t>KOSDAQ</t>
        </is>
      </c>
      <c r="B9" t="inlineStr">
        <is>
          <t>KOSDAQ 지수 (공식 vs FDR)</t>
        </is>
      </c>
      <c r="C9" t="n">
        <v/>
      </c>
      <c r="D9" t="n">
        <v/>
      </c>
      <c r="E9" t="n">
        <v/>
      </c>
      <c r="F9" t="n">
        <v/>
      </c>
      <c r="G9" s="17" t="n">
        <v/>
      </c>
      <c r="H9" t="n">
        <v/>
      </c>
      <c r="I9" t="n">
        <v/>
      </c>
      <c r="J9" t="n">
        <v>1351</v>
      </c>
      <c r="K9" t="n">
        <v>1350</v>
      </c>
      <c r="L9" t="n">
        <v>1</v>
      </c>
      <c r="M9" t="n">
        <v>0</v>
      </c>
      <c r="N9" s="17" t="n">
        <v>0.0006206871371718936</v>
      </c>
      <c r="O9" t="n">
        <v>1</v>
      </c>
      <c r="P9" t="inlineStr">
        <is>
          <t>2026-09-17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22" customWidth="1" min="5" max="5"/>
    <col width="22" customWidth="1" min="6" max="6"/>
    <col width="14" customWidth="1" min="7" max="7"/>
  </cols>
  <sheetData>
    <row r="1">
      <c r="A1" s="7" t="inlineStr">
        <is>
          <t>code</t>
        </is>
      </c>
      <c r="B1" s="7" t="inlineStr">
        <is>
          <t>name</t>
        </is>
      </c>
      <c r="C1" s="7" t="inlineStr">
        <is>
          <t>currency</t>
        </is>
      </c>
      <c r="D1" s="7" t="inlineStr">
        <is>
          <t>line</t>
        </is>
      </c>
      <c r="E1" s="7" t="inlineStr">
        <is>
          <t>account_id</t>
        </is>
      </c>
      <c r="F1" s="7" t="inlineStr">
        <is>
          <t>account_nm</t>
        </is>
      </c>
      <c r="G1" s="7" t="inlineStr">
        <is>
          <t>금액(억원)</t>
        </is>
      </c>
    </row>
    <row r="2">
      <c r="A2" t="inlineStr">
        <is>
          <t>192820</t>
        </is>
      </c>
      <c r="B2" t="inlineStr">
        <is>
          <t>코스맥스</t>
        </is>
      </c>
      <c r="C2" t="inlineStr">
        <is>
          <t>KRW</t>
        </is>
      </c>
      <c r="D2" t="inlineStr">
        <is>
          <t>cash</t>
        </is>
      </c>
      <c r="E2" t="inlineStr">
        <is>
          <t>ifrs-full_CashAndCashEquivalents</t>
        </is>
      </c>
      <c r="F2" t="inlineStr">
        <is>
          <t>현금및현금성자산</t>
        </is>
      </c>
      <c r="G2" s="10" t="n">
        <v>3367.26180991</v>
      </c>
    </row>
    <row r="3">
      <c r="A3" t="inlineStr">
        <is>
          <t>192820</t>
        </is>
      </c>
      <c r="B3" t="inlineStr">
        <is>
          <t>코스맥스</t>
        </is>
      </c>
      <c r="C3" t="inlineStr">
        <is>
          <t>KRW</t>
        </is>
      </c>
      <c r="D3" t="inlineStr">
        <is>
          <t>financial_aggregate</t>
        </is>
      </c>
      <c r="E3" t="inlineStr">
        <is>
          <t>ifrs-full_CurrentFinancialLiabilities</t>
        </is>
      </c>
      <c r="F3" t="inlineStr">
        <is>
          <t>단기금융부채</t>
        </is>
      </c>
      <c r="G3" s="10" t="n">
        <v>9010.01524807</v>
      </c>
    </row>
    <row r="4">
      <c r="A4" t="inlineStr">
        <is>
          <t>192820</t>
        </is>
      </c>
      <c r="B4" t="inlineStr">
        <is>
          <t>코스맥스</t>
        </is>
      </c>
      <c r="C4" t="inlineStr">
        <is>
          <t>KRW</t>
        </is>
      </c>
      <c r="D4" t="inlineStr">
        <is>
          <t>financial_aggregate</t>
        </is>
      </c>
      <c r="E4" t="inlineStr">
        <is>
          <t>ifrs-full_NoncurrentFinancialLiabilities</t>
        </is>
      </c>
      <c r="F4" t="inlineStr">
        <is>
          <t>장기금융부채</t>
        </is>
      </c>
      <c r="G4" s="10" t="n">
        <v>3713.39626648</v>
      </c>
    </row>
    <row r="5">
      <c r="A5" t="inlineStr">
        <is>
          <t>161890</t>
        </is>
      </c>
      <c r="B5" t="inlineStr">
        <is>
          <t>한국콜마</t>
        </is>
      </c>
      <c r="C5" t="inlineStr">
        <is>
          <t>KRW</t>
        </is>
      </c>
      <c r="D5" t="inlineStr">
        <is>
          <t>borrowings</t>
        </is>
      </c>
      <c r="E5" t="inlineStr">
        <is>
          <t>ifrs-full_CurrentBondsIssuedAndCurrentPortionOfNoncurrentBondsIssued</t>
        </is>
      </c>
      <c r="F5" t="inlineStr">
        <is>
          <t>유동사채</t>
        </is>
      </c>
      <c r="G5" s="10" t="n">
        <v>1468.84324371</v>
      </c>
    </row>
    <row r="6">
      <c r="A6" t="inlineStr">
        <is>
          <t>161890</t>
        </is>
      </c>
      <c r="B6" t="inlineStr">
        <is>
          <t>한국콜마</t>
        </is>
      </c>
      <c r="C6" t="inlineStr">
        <is>
          <t>KRW</t>
        </is>
      </c>
      <c r="D6" t="inlineStr">
        <is>
          <t>borrowings</t>
        </is>
      </c>
      <c r="E6" t="inlineStr">
        <is>
          <t>ifrs-full_CurrentLoansReceivedAndCurrentPortionOfNoncurrentLoansReceived</t>
        </is>
      </c>
      <c r="F6" t="inlineStr">
        <is>
          <t>단기차입금</t>
        </is>
      </c>
      <c r="G6" s="10" t="n">
        <v>6647.81055354</v>
      </c>
    </row>
    <row r="7">
      <c r="A7" t="inlineStr">
        <is>
          <t>161890</t>
        </is>
      </c>
      <c r="B7" t="inlineStr">
        <is>
          <t>한국콜마</t>
        </is>
      </c>
      <c r="C7" t="inlineStr">
        <is>
          <t>KRW</t>
        </is>
      </c>
      <c r="D7" t="inlineStr">
        <is>
          <t>borrowings</t>
        </is>
      </c>
      <c r="E7" t="inlineStr">
        <is>
          <t>ifrs-full_NoncurrentPortionOfNoncurrentBondsIssued</t>
        </is>
      </c>
      <c r="F7" t="inlineStr">
        <is>
          <t>비유동사채</t>
        </is>
      </c>
      <c r="G7" s="10" t="n">
        <v>2086.3987761</v>
      </c>
    </row>
    <row r="8">
      <c r="A8" t="inlineStr">
        <is>
          <t>161890</t>
        </is>
      </c>
      <c r="B8" t="inlineStr">
        <is>
          <t>한국콜마</t>
        </is>
      </c>
      <c r="C8" t="inlineStr">
        <is>
          <t>KRW</t>
        </is>
      </c>
      <c r="D8" t="inlineStr">
        <is>
          <t>borrowings</t>
        </is>
      </c>
      <c r="E8" t="inlineStr">
        <is>
          <t>ifrs-full_NoncurrentPortionOfNoncurrentLoansReceived</t>
        </is>
      </c>
      <c r="F8" t="inlineStr">
        <is>
          <t>장기차입금</t>
        </is>
      </c>
      <c r="G8" s="10" t="n">
        <v>1610.37269682</v>
      </c>
    </row>
    <row r="9">
      <c r="A9" t="inlineStr">
        <is>
          <t>161890</t>
        </is>
      </c>
      <c r="B9" t="inlineStr">
        <is>
          <t>한국콜마</t>
        </is>
      </c>
      <c r="C9" t="inlineStr">
        <is>
          <t>KRW</t>
        </is>
      </c>
      <c r="D9" t="inlineStr">
        <is>
          <t>lease</t>
        </is>
      </c>
      <c r="E9" t="inlineStr">
        <is>
          <t>ifrs-full_CurrentLeaseLiabilities</t>
        </is>
      </c>
      <c r="F9" t="inlineStr">
        <is>
          <t>유동리스부채</t>
        </is>
      </c>
      <c r="G9" s="10" t="n">
        <v>147.71505336</v>
      </c>
    </row>
    <row r="10">
      <c r="A10" t="inlineStr">
        <is>
          <t>161890</t>
        </is>
      </c>
      <c r="B10" t="inlineStr">
        <is>
          <t>한국콜마</t>
        </is>
      </c>
      <c r="C10" t="inlineStr">
        <is>
          <t>KRW</t>
        </is>
      </c>
      <c r="D10" t="inlineStr">
        <is>
          <t>lease</t>
        </is>
      </c>
      <c r="E10" t="inlineStr">
        <is>
          <t>ifrs-full_NoncurrentLeaseLiabilities</t>
        </is>
      </c>
      <c r="F10" t="inlineStr">
        <is>
          <t>비유동리스부채</t>
        </is>
      </c>
      <c r="G10" s="10" t="n">
        <v>413.08771925</v>
      </c>
    </row>
    <row r="11">
      <c r="A11" t="inlineStr">
        <is>
          <t>161890</t>
        </is>
      </c>
      <c r="B11" t="inlineStr">
        <is>
          <t>한국콜마</t>
        </is>
      </c>
      <c r="C11" t="inlineStr">
        <is>
          <t>KRW</t>
        </is>
      </c>
      <c r="D11" t="inlineStr">
        <is>
          <t>cash</t>
        </is>
      </c>
      <c r="E11" t="inlineStr">
        <is>
          <t>ifrs-full_CashAndCashEquivalents</t>
        </is>
      </c>
      <c r="F11" t="inlineStr">
        <is>
          <t>현금및현금성자산</t>
        </is>
      </c>
      <c r="G11" s="10" t="n">
        <v>1768.17079758</v>
      </c>
    </row>
    <row r="12">
      <c r="A12" t="inlineStr">
        <is>
          <t>241710</t>
        </is>
      </c>
      <c r="B12" t="inlineStr">
        <is>
          <t>코스메카코리아</t>
        </is>
      </c>
      <c r="C12" t="inlineStr">
        <is>
          <t>KRW</t>
        </is>
      </c>
      <c r="D12" t="inlineStr">
        <is>
          <t>borrowings</t>
        </is>
      </c>
      <c r="E12" t="inlineStr">
        <is>
          <t>ifrs-full_CurrentPortionOfLongtermBorrowings</t>
        </is>
      </c>
      <c r="F12" t="inlineStr">
        <is>
          <t>유동성장기부채</t>
        </is>
      </c>
      <c r="G12" s="10" t="n">
        <v>77.64480278000001</v>
      </c>
    </row>
    <row r="13">
      <c r="A13" t="inlineStr">
        <is>
          <t>241710</t>
        </is>
      </c>
      <c r="B13" t="inlineStr">
        <is>
          <t>코스메카코리아</t>
        </is>
      </c>
      <c r="C13" t="inlineStr">
        <is>
          <t>KRW</t>
        </is>
      </c>
      <c r="D13" t="inlineStr">
        <is>
          <t>borrowings</t>
        </is>
      </c>
      <c r="E13" t="inlineStr">
        <is>
          <t>ifrs-full_ShorttermBorrowings</t>
        </is>
      </c>
      <c r="F13" t="inlineStr">
        <is>
          <t>단기차입금</t>
        </is>
      </c>
      <c r="G13" s="10" t="n">
        <v>1596.84810637</v>
      </c>
    </row>
    <row r="14">
      <c r="A14" t="inlineStr">
        <is>
          <t>241710</t>
        </is>
      </c>
      <c r="B14" t="inlineStr">
        <is>
          <t>코스메카코리아</t>
        </is>
      </c>
      <c r="C14" t="inlineStr">
        <is>
          <t>KRW</t>
        </is>
      </c>
      <c r="D14" t="inlineStr">
        <is>
          <t>borrowings</t>
        </is>
      </c>
      <c r="E14" t="inlineStr">
        <is>
          <t>ifrs-full_LongtermBorrowings</t>
        </is>
      </c>
      <c r="F14" t="inlineStr">
        <is>
          <t>장기차입금</t>
        </is>
      </c>
      <c r="G14" s="10" t="n">
        <v>583.73069911</v>
      </c>
    </row>
    <row r="15">
      <c r="A15" t="inlineStr">
        <is>
          <t>241710</t>
        </is>
      </c>
      <c r="B15" t="inlineStr">
        <is>
          <t>코스메카코리아</t>
        </is>
      </c>
      <c r="C15" t="inlineStr">
        <is>
          <t>KRW</t>
        </is>
      </c>
      <c r="D15" t="inlineStr">
        <is>
          <t>lease</t>
        </is>
      </c>
      <c r="E15" t="inlineStr">
        <is>
          <t>ifrs-full_CurrentLeaseLiabilities</t>
        </is>
      </c>
      <c r="F15" t="inlineStr">
        <is>
          <t>리스유동부채</t>
        </is>
      </c>
      <c r="G15" s="10" t="n">
        <v>25.84860068</v>
      </c>
    </row>
    <row r="16">
      <c r="A16" t="inlineStr">
        <is>
          <t>241710</t>
        </is>
      </c>
      <c r="B16" t="inlineStr">
        <is>
          <t>코스메카코리아</t>
        </is>
      </c>
      <c r="C16" t="inlineStr">
        <is>
          <t>KRW</t>
        </is>
      </c>
      <c r="D16" t="inlineStr">
        <is>
          <t>lease</t>
        </is>
      </c>
      <c r="E16" t="inlineStr">
        <is>
          <t>ifrs-full_NoncurrentLeaseLiabilities</t>
        </is>
      </c>
      <c r="F16" t="inlineStr">
        <is>
          <t>리스비유동부채</t>
        </is>
      </c>
      <c r="G16" s="10" t="n">
        <v>45.60761931</v>
      </c>
    </row>
    <row r="17">
      <c r="A17" t="inlineStr">
        <is>
          <t>241710</t>
        </is>
      </c>
      <c r="B17" t="inlineStr">
        <is>
          <t>코스메카코리아</t>
        </is>
      </c>
      <c r="C17" t="inlineStr">
        <is>
          <t>KRW</t>
        </is>
      </c>
      <c r="D17" t="inlineStr">
        <is>
          <t>cash</t>
        </is>
      </c>
      <c r="E17" t="inlineStr">
        <is>
          <t>ifrs-full_CashAndCashEquivalents</t>
        </is>
      </c>
      <c r="F17" t="inlineStr">
        <is>
          <t>현금및현금성자산</t>
        </is>
      </c>
      <c r="G17" s="10" t="n">
        <v>774.5964797399999</v>
      </c>
    </row>
    <row r="18">
      <c r="A18" t="inlineStr">
        <is>
          <t>352480</t>
        </is>
      </c>
      <c r="B18" t="inlineStr">
        <is>
          <t>씨앤씨인터내셔널</t>
        </is>
      </c>
      <c r="C18" t="inlineStr">
        <is>
          <t>KRW</t>
        </is>
      </c>
      <c r="D18" t="inlineStr">
        <is>
          <t>borrowings</t>
        </is>
      </c>
      <c r="E18" t="inlineStr">
        <is>
          <t>dart_CurrentLoansReceived</t>
        </is>
      </c>
      <c r="F18" t="inlineStr">
        <is>
          <t>단기차입금</t>
        </is>
      </c>
      <c r="G18" s="10" t="n">
        <v>119.7998</v>
      </c>
    </row>
    <row r="19">
      <c r="A19" t="inlineStr">
        <is>
          <t>352480</t>
        </is>
      </c>
      <c r="B19" t="inlineStr">
        <is>
          <t>씨앤씨인터내셔널</t>
        </is>
      </c>
      <c r="C19" t="inlineStr">
        <is>
          <t>KRW</t>
        </is>
      </c>
      <c r="D19" t="inlineStr">
        <is>
          <t>borrowings</t>
        </is>
      </c>
      <c r="E19" t="inlineStr">
        <is>
          <t>dart_CurrentPortionOfConvertibleBonds</t>
        </is>
      </c>
      <c r="F19" t="inlineStr">
        <is>
          <t>전환사채(유동)</t>
        </is>
      </c>
      <c r="G19" s="10" t="n">
        <v>0</v>
      </c>
    </row>
    <row r="20">
      <c r="A20" t="inlineStr">
        <is>
          <t>352480</t>
        </is>
      </c>
      <c r="B20" t="inlineStr">
        <is>
          <t>씨앤씨인터내셔널</t>
        </is>
      </c>
      <c r="C20" t="inlineStr">
        <is>
          <t>KRW</t>
        </is>
      </c>
      <c r="D20" t="inlineStr">
        <is>
          <t>borrowings</t>
        </is>
      </c>
      <c r="E20" t="inlineStr">
        <is>
          <t>dart_CurrentPortionOfNoncurrentLoansReceived</t>
        </is>
      </c>
      <c r="F20" t="inlineStr">
        <is>
          <t>유동성장기부채</t>
        </is>
      </c>
      <c r="G20" s="10" t="n">
        <v>200</v>
      </c>
    </row>
    <row r="21">
      <c r="A21" t="inlineStr">
        <is>
          <t>352480</t>
        </is>
      </c>
      <c r="B21" t="inlineStr">
        <is>
          <t>씨앤씨인터내셔널</t>
        </is>
      </c>
      <c r="C21" t="inlineStr">
        <is>
          <t>KRW</t>
        </is>
      </c>
      <c r="D21" t="inlineStr">
        <is>
          <t>lease</t>
        </is>
      </c>
      <c r="E21" t="inlineStr">
        <is>
          <t>ifrs-full_CurrentLeaseLiabilities</t>
        </is>
      </c>
      <c r="F21" t="inlineStr">
        <is>
          <t>리스부채(유동)</t>
        </is>
      </c>
      <c r="G21" s="10" t="n">
        <v>21.00096633</v>
      </c>
    </row>
    <row r="22">
      <c r="A22" t="inlineStr">
        <is>
          <t>352480</t>
        </is>
      </c>
      <c r="B22" t="inlineStr">
        <is>
          <t>씨앤씨인터내셔널</t>
        </is>
      </c>
      <c r="C22" t="inlineStr">
        <is>
          <t>KRW</t>
        </is>
      </c>
      <c r="D22" t="inlineStr">
        <is>
          <t>lease</t>
        </is>
      </c>
      <c r="E22" t="inlineStr">
        <is>
          <t>ifrs-full_NoncurrentLeaseLiabilities</t>
        </is>
      </c>
      <c r="F22" t="inlineStr">
        <is>
          <t>리스부채(비유동)</t>
        </is>
      </c>
      <c r="G22" s="10" t="n">
        <v>17.08797644</v>
      </c>
    </row>
    <row r="23">
      <c r="A23" t="inlineStr">
        <is>
          <t>352480</t>
        </is>
      </c>
      <c r="B23" t="inlineStr">
        <is>
          <t>씨앤씨인터내셔널</t>
        </is>
      </c>
      <c r="C23" t="inlineStr">
        <is>
          <t>KRW</t>
        </is>
      </c>
      <c r="D23" t="inlineStr">
        <is>
          <t>cash</t>
        </is>
      </c>
      <c r="E23" t="inlineStr">
        <is>
          <t>ifrs-full_CashAndCashEquivalents</t>
        </is>
      </c>
      <c r="F23" t="inlineStr">
        <is>
          <t>현금및현금성자산</t>
        </is>
      </c>
      <c r="G23" s="10" t="n">
        <v>1191.7419076</v>
      </c>
    </row>
    <row r="24">
      <c r="A24" t="inlineStr">
        <is>
          <t>950140</t>
        </is>
      </c>
      <c r="B24" t="inlineStr">
        <is>
          <t>잉글우드랩</t>
        </is>
      </c>
      <c r="C24" t="inlineStr">
        <is>
          <t>USD</t>
        </is>
      </c>
      <c r="D24" t="inlineStr">
        <is>
          <t>borrowings</t>
        </is>
      </c>
      <c r="E24" t="inlineStr">
        <is>
          <t>-표준계정코드 미사용-</t>
        </is>
      </c>
      <c r="F24" t="inlineStr">
        <is>
          <t>유동성장기부채</t>
        </is>
      </c>
      <c r="G24" s="10" t="n">
        <v>0.00419332</v>
      </c>
    </row>
    <row r="25">
      <c r="A25" t="inlineStr">
        <is>
          <t>950140</t>
        </is>
      </c>
      <c r="B25" t="inlineStr">
        <is>
          <t>잉글우드랩</t>
        </is>
      </c>
      <c r="C25" t="inlineStr">
        <is>
          <t>USD</t>
        </is>
      </c>
      <c r="D25" t="inlineStr">
        <is>
          <t>borrowings</t>
        </is>
      </c>
      <c r="E25" t="inlineStr">
        <is>
          <t>-표준계정코드 미사용-</t>
        </is>
      </c>
      <c r="F25" t="inlineStr">
        <is>
          <t>단기차입금</t>
        </is>
      </c>
      <c r="G25" s="10" t="n">
        <v>0.09082063</v>
      </c>
    </row>
    <row r="26">
      <c r="A26" t="inlineStr">
        <is>
          <t>950140</t>
        </is>
      </c>
      <c r="B26" t="inlineStr">
        <is>
          <t>잉글우드랩</t>
        </is>
      </c>
      <c r="C26" t="inlineStr">
        <is>
          <t>USD</t>
        </is>
      </c>
      <c r="D26" t="inlineStr">
        <is>
          <t>borrowings</t>
        </is>
      </c>
      <c r="E26" t="inlineStr">
        <is>
          <t>-표준계정코드 미사용-</t>
        </is>
      </c>
      <c r="F26" t="inlineStr">
        <is>
          <t>장기차입금</t>
        </is>
      </c>
      <c r="G26" s="10" t="n">
        <v>0.01145287</v>
      </c>
    </row>
    <row r="27">
      <c r="A27" t="inlineStr">
        <is>
          <t>950140</t>
        </is>
      </c>
      <c r="B27" t="inlineStr">
        <is>
          <t>잉글우드랩</t>
        </is>
      </c>
      <c r="C27" t="inlineStr">
        <is>
          <t>USD</t>
        </is>
      </c>
      <c r="D27" t="inlineStr">
        <is>
          <t>lease</t>
        </is>
      </c>
      <c r="E27" t="inlineStr">
        <is>
          <t>-표준계정코드 미사용-</t>
        </is>
      </c>
      <c r="F27" t="inlineStr">
        <is>
          <t>리스부채</t>
        </is>
      </c>
      <c r="G27" s="10" t="n">
        <v>0.00785215</v>
      </c>
    </row>
    <row r="28">
      <c r="A28" t="inlineStr">
        <is>
          <t>950140</t>
        </is>
      </c>
      <c r="B28" t="inlineStr">
        <is>
          <t>잉글우드랩</t>
        </is>
      </c>
      <c r="C28" t="inlineStr">
        <is>
          <t>USD</t>
        </is>
      </c>
      <c r="D28" t="inlineStr">
        <is>
          <t>lease</t>
        </is>
      </c>
      <c r="E28" t="inlineStr">
        <is>
          <t>-표준계정코드 미사용-</t>
        </is>
      </c>
      <c r="F28" t="inlineStr">
        <is>
          <t>리스부채</t>
        </is>
      </c>
      <c r="G28" s="10" t="n">
        <v>0.02448415</v>
      </c>
    </row>
    <row r="29">
      <c r="A29" t="inlineStr">
        <is>
          <t>950140</t>
        </is>
      </c>
      <c r="B29" t="inlineStr">
        <is>
          <t>잉글우드랩</t>
        </is>
      </c>
      <c r="C29" t="inlineStr">
        <is>
          <t>USD</t>
        </is>
      </c>
      <c r="D29" t="inlineStr">
        <is>
          <t>cash</t>
        </is>
      </c>
      <c r="E29" t="inlineStr">
        <is>
          <t>ifrs-full_CashAndCashEquivalents</t>
        </is>
      </c>
      <c r="F29" t="inlineStr">
        <is>
          <t>현금및현금성자산</t>
        </is>
      </c>
      <c r="G29" s="10" t="n">
        <v>0.29045839</v>
      </c>
    </row>
    <row r="30">
      <c r="A30" t="inlineStr">
        <is>
          <t>003350</t>
        </is>
      </c>
      <c r="B30" t="inlineStr">
        <is>
          <t>한국화장품제조</t>
        </is>
      </c>
      <c r="C30" t="inlineStr">
        <is>
          <t>KRW</t>
        </is>
      </c>
      <c r="D30" t="inlineStr">
        <is>
          <t>borrowings</t>
        </is>
      </c>
      <c r="E30" t="inlineStr">
        <is>
          <t>ifrs-full_ShorttermBorrowings</t>
        </is>
      </c>
      <c r="F30" t="inlineStr">
        <is>
          <t>단기차입부채</t>
        </is>
      </c>
      <c r="G30" s="10" t="n">
        <v>50</v>
      </c>
    </row>
    <row r="31">
      <c r="A31" t="inlineStr">
        <is>
          <t>003350</t>
        </is>
      </c>
      <c r="B31" t="inlineStr">
        <is>
          <t>한국화장품제조</t>
        </is>
      </c>
      <c r="C31" t="inlineStr">
        <is>
          <t>KRW</t>
        </is>
      </c>
      <c r="D31" t="inlineStr">
        <is>
          <t>borrowings</t>
        </is>
      </c>
      <c r="E31" t="inlineStr">
        <is>
          <t>dart_ExchangeableBonds</t>
        </is>
      </c>
      <c r="F31" t="inlineStr">
        <is>
          <t>교환사채</t>
        </is>
      </c>
      <c r="G31" s="10" t="n">
        <v>555.30033026</v>
      </c>
    </row>
    <row r="32">
      <c r="A32" t="inlineStr">
        <is>
          <t>003350</t>
        </is>
      </c>
      <c r="B32" t="inlineStr">
        <is>
          <t>한국화장품제조</t>
        </is>
      </c>
      <c r="C32" t="inlineStr">
        <is>
          <t>KRW</t>
        </is>
      </c>
      <c r="D32" t="inlineStr">
        <is>
          <t>cash</t>
        </is>
      </c>
      <c r="E32" t="inlineStr">
        <is>
          <t>ifrs-full_CashAndCashEquivalents</t>
        </is>
      </c>
      <c r="F32" t="inlineStr">
        <is>
          <t>현금및현금성자산</t>
        </is>
      </c>
      <c r="G32" s="10" t="n">
        <v>620.19862427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2026-09-22T04:28:09Z</dcterms:created>
  <dcterms:modified xmlns:dcterms="http://purl.org/dc/terms/" xmlns:xsi="http://www.w3.org/2001/XMLSchema-instance" xsi:type="dcterms:W3CDTF">2026-09-22T04:28:10Z</dcterms:modified>
</cp:coreProperties>
</file>